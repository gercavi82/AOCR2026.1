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marcelo\comision de servicios\COMISION AL COCA SEPTIEMBRE2026\"/>
    </mc:Choice>
  </mc:AlternateContent>
  <xr:revisionPtr revIDLastSave="0" documentId="13_ncr:1_{026F10AB-3779-484F-978B-A4E1B4E1D234}" xr6:coauthVersionLast="47" xr6:coauthVersionMax="47" xr10:uidLastSave="{00000000-0000-0000-0000-000000000000}"/>
  <bookViews>
    <workbookView xWindow="-120" yWindow="-120" windowWidth="29040" windowHeight="15720" activeTab="1" xr2:uid="{00000000-000D-0000-FFFF-FFFF00000000}"/>
  </bookViews>
  <sheets>
    <sheet name="COCA" sheetId="1" r:id="rId1"/>
    <sheet name="INFORME" sheetId="2" r:id="rId2"/>
  </sheets>
  <externalReferences>
    <externalReference r:id="rId3"/>
  </externalReferences>
  <definedNames>
    <definedName name="_xlnm.Print_Area" localSheetId="0">COCA!$A$1:$P$47</definedName>
    <definedName name="Print_Area" localSheetId="1">INFORME!$A$1:$N$53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 i="2" l="1"/>
  <c r="A5" i="2"/>
  <c r="J52" i="2"/>
  <c r="M28" i="2"/>
  <c r="M27" i="2"/>
  <c r="M29"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hfernandez</author>
    <author>gina.verdezoto</author>
    <author>monica.ramos</author>
  </authors>
  <commentList>
    <comment ref="A5" authorId="0" shapeId="0" xr:uid="{086375EF-A281-4015-A3D9-A6AE69828634}">
      <text>
        <r>
          <rPr>
            <b/>
            <sz val="8"/>
            <rFont val="Tahoma"/>
            <family val="2"/>
          </rPr>
          <t>No. De Memorando de designación de comisión y Fecha</t>
        </r>
      </text>
    </comment>
    <comment ref="J5" authorId="0" shapeId="0" xr:uid="{ACB9A623-22FA-44D4-8C10-2CAC95941537}">
      <text>
        <r>
          <rPr>
            <b/>
            <sz val="8"/>
            <rFont val="Tahoma"/>
            <family val="2"/>
          </rPr>
          <t>Fecha de elaboración del Informe</t>
        </r>
      </text>
    </comment>
    <comment ref="A8" authorId="0" shapeId="0" xr:uid="{8852FFAF-D279-4FA8-9C31-FBEE2EF2729C}">
      <text>
        <r>
          <rPr>
            <sz val="8"/>
            <rFont val="Tahoma"/>
            <family val="2"/>
          </rPr>
          <t xml:space="preserve">APELLIDOS Y NOMBRES COMPLETOS DEL COMISIONADO C.I
</t>
        </r>
      </text>
    </comment>
    <comment ref="J8" authorId="0" shapeId="0" xr:uid="{41B76A14-346B-435F-B8BD-BEE863607D3E}">
      <text>
        <r>
          <rPr>
            <sz val="8"/>
            <rFont val="Tahoma"/>
            <family val="2"/>
          </rPr>
          <t xml:space="preserve">
CARGO DEL COMISIONADO SEGÚN ACCIÓN DE PERSONAL</t>
        </r>
      </text>
    </comment>
    <comment ref="A13" authorId="0" shapeId="0" xr:uid="{83D7E804-7376-4B16-AEA1-B698E9B73F6E}">
      <text>
        <r>
          <rPr>
            <sz val="8"/>
            <rFont val="Tahoma"/>
            <family val="2"/>
          </rPr>
          <t>BREVE DETALLE DE ACTIVIDADES A CUMPLIR DURANTE SU COMISION Y NO. DE MEMORANDO CON EL CUAL SE REMITE EL INFORME DETALLADO DE LA COMISIÓN AL JEFE INMEDIATO</t>
        </r>
      </text>
    </comment>
    <comment ref="A17" authorId="1" shapeId="0" xr:uid="{8BE830DF-0E52-4FFB-B7A1-B4D3151836F4}">
      <text>
        <r>
          <rPr>
            <b/>
            <sz val="9"/>
            <rFont val="Tahoma"/>
            <family val="2"/>
          </rPr>
          <t>Insertar las celdas necesarias</t>
        </r>
      </text>
    </comment>
    <comment ref="E17" authorId="2" shapeId="0" xr:uid="{606F8091-04B9-46A6-80E9-75A63A41EB35}">
      <text>
        <r>
          <rPr>
            <b/>
            <sz val="9"/>
            <rFont val="Arial"/>
            <family val="2"/>
          </rPr>
          <t>monica.ramos:</t>
        </r>
        <r>
          <rPr>
            <sz val="9"/>
            <rFont val="Arial"/>
            <family val="2"/>
          </rPr>
          <t xml:space="preserve">
Revisar que las facturas no esten caducadas.ejm Restaurante María/Alimentacion. 
Hotel Amadeus/ Hospedaje</t>
        </r>
      </text>
    </comment>
    <comment ref="M27" authorId="1" shapeId="0" xr:uid="{812185E6-79DA-40F7-9FE3-B9E42D522AF8}">
      <text>
        <r>
          <rPr>
            <b/>
            <sz val="9"/>
            <rFont val="Tahoma"/>
            <family val="2"/>
          </rPr>
          <t>Sumatoria de los consumos realizados</t>
        </r>
        <r>
          <rPr>
            <sz val="9"/>
            <rFont val="Tahoma"/>
            <family val="2"/>
          </rPr>
          <t xml:space="preserve">
</t>
        </r>
      </text>
    </comment>
    <comment ref="M28" authorId="0" shapeId="0" xr:uid="{A8A21C41-4258-4F9D-BEF0-D351ED96C882}">
      <text>
        <r>
          <rPr>
            <b/>
            <sz val="8"/>
            <rFont val="Tahoma"/>
            <family val="2"/>
          </rPr>
          <t>hfernandez:</t>
        </r>
        <r>
          <rPr>
            <sz val="8"/>
            <rFont val="Tahoma"/>
            <family val="2"/>
          </rPr>
          <t xml:space="preserve">
SACAR EL 70% DEL VIATICO TOTAL O SUBSISTENCIA</t>
        </r>
      </text>
    </comment>
    <comment ref="M29" authorId="0" shapeId="0" xr:uid="{91548E00-EB64-434A-9D8E-03D87A67941A}">
      <text>
        <r>
          <rPr>
            <b/>
            <sz val="8"/>
            <rFont val="Tahoma"/>
            <family val="2"/>
          </rPr>
          <t>hfernandez:</t>
        </r>
        <r>
          <rPr>
            <sz val="8"/>
            <rFont val="Tahoma"/>
            <family val="2"/>
          </rPr>
          <t xml:space="preserve">
RESTA DEL VALOR JUSTIFICADO CON EL 70% DE VIATICO</t>
        </r>
      </text>
    </comment>
    <comment ref="A51" authorId="1" shapeId="0" xr:uid="{9EE86BBA-74C6-4DE3-9A05-2818816FFBCA}">
      <text>
        <r>
          <rPr>
            <b/>
            <sz val="9"/>
            <rFont val="Tahoma"/>
            <family val="2"/>
          </rPr>
          <t>si corresponde, de lo contrario firma el jefe directo (autoridad nominadora)</t>
        </r>
      </text>
    </comment>
  </commentList>
</comments>
</file>

<file path=xl/sharedStrings.xml><?xml version="1.0" encoding="utf-8"?>
<sst xmlns="http://schemas.openxmlformats.org/spreadsheetml/2006/main" count="130" uniqueCount="103">
  <si>
    <t>SOLICITUD DE AUTORIZACION PARA CUMPLIMIENTO DE SERVICIOS INSTITUCIONALES</t>
  </si>
  <si>
    <t>Nro. SOLICITUD DE AUTORIZACIÓN PARA CUMPLIMIENTO DE SERVICIOS INSTITUCIONALES</t>
  </si>
  <si>
    <t>FECHA DE SOLICITUD (dd-mmm-aaaa)</t>
  </si>
  <si>
    <t>VIATICOS</t>
  </si>
  <si>
    <t>X</t>
  </si>
  <si>
    <t>MOVILIZACIONES</t>
  </si>
  <si>
    <t>SUBSISTENCIAS</t>
  </si>
  <si>
    <t>ALIMENTACION</t>
  </si>
  <si>
    <t>DATOS GENERALES</t>
  </si>
  <si>
    <t>APELLIDOS - NOMBRES DE LA O EL SERVIDOR</t>
  </si>
  <si>
    <t>PUESTO QUE OCUPA:</t>
  </si>
  <si>
    <t>CIUDAD – PROVINCIA DEL SERVICIO INSTITUCIONAL</t>
  </si>
  <si>
    <t>NOMBRE DE LA UNIDAD A LA QUE PERTENECE LA O EL  SERVIDOR</t>
  </si>
  <si>
    <t>FECHA SALIDA (dd-mm-aaaa)</t>
  </si>
  <si>
    <t>HORA SALIDA (hh:mm)</t>
  </si>
  <si>
    <t>FECHA LLEGADA (dd-mm-aaaa)</t>
  </si>
  <si>
    <t>HORA LLEGADA (hh:mm)</t>
  </si>
  <si>
    <t>DESCRIPCIÓN DE LAS ACTIVIDADES A EJECUTARSE</t>
  </si>
  <si>
    <t>NOMBRE DE TRANSPORTE</t>
  </si>
  <si>
    <t>RUTA</t>
  </si>
  <si>
    <t>SALIDA</t>
  </si>
  <si>
    <t>LLEGADA</t>
  </si>
  <si>
    <t>TERRESTRE</t>
  </si>
  <si>
    <t>13H00</t>
  </si>
  <si>
    <t>DATOS PARA TRANSFERENCIA</t>
  </si>
  <si>
    <t>NOMBRE DEL BANCO:</t>
  </si>
  <si>
    <t>TIPO DE CUENTA:</t>
  </si>
  <si>
    <t xml:space="preserve">NO. DE CUENTA: </t>
  </si>
  <si>
    <t>AHORROS</t>
  </si>
  <si>
    <t>FIRMA DE LA O EL SERVIDOR SOLICITANTE</t>
  </si>
  <si>
    <t>NOTA: Esta solicitud debera ser presentada para la Autorización,  por lo menos 72 horas de anticipación al cumplimiento de  los servicios institucionales, salvo el caso de que por necesidad institucional la Autoridad Nominadora autorice.                                                                    * De no existir disponibilidad presupuestaria, tanto la solicitud como la autorización quedarán insubsistentes.                                                                                                                                                  * El informe de Servicios Institucionales deberá presentarse dentro del término de 4 días de cumplido el servicio institucional.                                                                                                                  Está prohibido conceder servicios institucionales durante los días de descanso obligatorio con excepción de las Máximas Autoridades o de casos excepcionales debidamente justificados por la Máxima Autoridad o su Delegado.</t>
  </si>
  <si>
    <t>FIRMAS DE APROBACIÓN</t>
  </si>
  <si>
    <t>FIRMA DE LA AUTORIDAD ENCARGADA DE LA UNIDAD</t>
  </si>
  <si>
    <t>FIRMA DE LA AUTORIDAD NOMINADORA O SU DELEGADO</t>
  </si>
  <si>
    <t>TRANSPORTE</t>
  </si>
  <si>
    <r>
      <t xml:space="preserve">TIPO DE TRANSPORTE </t>
    </r>
    <r>
      <rPr>
        <sz val="8"/>
        <rFont val="Cambria"/>
        <family val="1"/>
      </rPr>
      <t>(Aéreo,terrestre, marítimo, otros)</t>
    </r>
  </si>
  <si>
    <r>
      <t xml:space="preserve">FECHA              </t>
    </r>
    <r>
      <rPr>
        <sz val="10"/>
        <rFont val="Cambria"/>
        <family val="1"/>
      </rPr>
      <t>dd-mm-aaaa</t>
    </r>
  </si>
  <si>
    <r>
      <t xml:space="preserve">HORA      </t>
    </r>
    <r>
      <rPr>
        <sz val="10"/>
        <rFont val="Cambria"/>
        <family val="1"/>
      </rPr>
      <t>hh:mm</t>
    </r>
  </si>
  <si>
    <r>
      <t xml:space="preserve">FECHA             </t>
    </r>
    <r>
      <rPr>
        <sz val="10"/>
        <rFont val="Cambria"/>
        <family val="1"/>
      </rPr>
      <t>dd-mm-aaaa</t>
    </r>
  </si>
  <si>
    <r>
      <t xml:space="preserve">HORA               </t>
    </r>
    <r>
      <rPr>
        <sz val="10"/>
        <rFont val="Cambria"/>
        <family val="1"/>
      </rPr>
      <t>hh:mm</t>
    </r>
  </si>
  <si>
    <t>17H00</t>
  </si>
  <si>
    <t>11H00</t>
  </si>
  <si>
    <t>JUAN CARLOS CÁRDENAS QUENGUÁN 
C.I 040099419-0</t>
  </si>
  <si>
    <t>DIRECCIÓN DE TECNOLOGÍAS DE LA INFORMACIÓN Y COMUNICACIÓN</t>
  </si>
  <si>
    <t>BANCO RUMIÑAHUI</t>
  </si>
  <si>
    <t>8057649600</t>
  </si>
  <si>
    <t>Ing. Juan Carlos Cárdenas</t>
  </si>
  <si>
    <t>ANALISTA DE TECNOLOGÍAS</t>
  </si>
  <si>
    <t>ANALISTA DE TECNOLOGIAS DE LA INFORMACIÓN Y COMUNICACIÓN</t>
  </si>
  <si>
    <t>COCA - FRANCISCO DE ORELLANA</t>
  </si>
  <si>
    <t>08H30</t>
  </si>
  <si>
    <t>Mgs. Gustavo Lema</t>
  </si>
  <si>
    <r>
      <rPr>
        <sz val="10"/>
        <rFont val="Cambria"/>
        <family val="1"/>
      </rPr>
      <t>Ing. Alexander Guncay</t>
    </r>
    <r>
      <rPr>
        <b/>
        <sz val="10"/>
        <rFont val="Cambria"/>
        <family val="1"/>
      </rPr>
      <t xml:space="preserve">
DIRECTOR DE TECNOLOGÍAS DE LA INFORMACIÓN (E)</t>
    </r>
  </si>
  <si>
    <t>INSTITUCIONAL</t>
  </si>
  <si>
    <t>QUITO - COCA</t>
  </si>
  <si>
    <t>COCA - QUITO</t>
  </si>
  <si>
    <t>DGAC-DTIC-2026-0619-M</t>
  </si>
  <si>
    <t>Realizar el mantenimiento preventivo y correctivo, garantizando así la continuídad y seguridad de los servicios informáticos del Aeropuerto Francisco de Orellana.</t>
  </si>
  <si>
    <r>
      <t xml:space="preserve">SERVIDORES QUE INTEGRAN LOS SERVICIOS INSTITUCION
</t>
    </r>
    <r>
      <rPr>
        <sz val="10"/>
        <rFont val="Cambria"/>
        <family val="1"/>
      </rPr>
      <t>Ing. Marcelo Tejada</t>
    </r>
  </si>
  <si>
    <t>INFORME DE SERVICIOS INSTITUCIONALES</t>
  </si>
  <si>
    <t>FECHA DE INFORME (dd-mmm-aaaa)</t>
  </si>
  <si>
    <t xml:space="preserve">NOMBRE DE LA UNIDAD A LA QUE PERTENECE </t>
  </si>
  <si>
    <t>DIRECCIÓN DE TECNOLOGÍAS DE LA INFORMCIÓN Y COMUNICACIÓN</t>
  </si>
  <si>
    <t>INFORME DE ACTIVIDADES Y PRODUCTOS ALCANZADOS</t>
  </si>
  <si>
    <t>JUSTIFICATIVO DE ALOJAMIENTO Y/O ALIMENTACIÓN</t>
  </si>
  <si>
    <t>No.</t>
  </si>
  <si>
    <t>No. FACTURA O NOTA DE VENTA</t>
  </si>
  <si>
    <t>DESCRIPCIÓN</t>
  </si>
  <si>
    <t>VALOR</t>
  </si>
  <si>
    <t xml:space="preserve">      TOTAL JUSTIFICADO</t>
  </si>
  <si>
    <t xml:space="preserve">(-) 70% VIATICOS A JUSTIFICAR </t>
  </si>
  <si>
    <t xml:space="preserve">      VALOR A DEVOLVER</t>
  </si>
  <si>
    <t>FECHA</t>
  </si>
  <si>
    <t>Estos datos se refieren al tiempo efectivamente utilizado en el cumplimiento del servicio institucional, desde la salida del lugar de residencia o trabajo habituales o del cumplimiento del servicio institucional según sea el caso, hasta su llegada de estos sitios.</t>
  </si>
  <si>
    <t>dd-mmm-aaa</t>
  </si>
  <si>
    <t>HORA</t>
  </si>
  <si>
    <t>hh:mm</t>
  </si>
  <si>
    <t>TIPO DE TRANSPORTE (Aéreo,terrestre,marítimo,otros)</t>
  </si>
  <si>
    <t xml:space="preserve">NOMBRE DE TRANSPORTE </t>
  </si>
  <si>
    <t xml:space="preserve">FECHA </t>
  </si>
  <si>
    <t>dd-mmm-aaaa</t>
  </si>
  <si>
    <t xml:space="preserve"> hh:mm</t>
  </si>
  <si>
    <t>NOTA: En caso de haber utilizado transporte público, se deberá adjuntar obligatoriamente los pases a bordo o boletos.</t>
  </si>
  <si>
    <t>OBSERVACIONES</t>
  </si>
  <si>
    <t>FIRMA DE LA O EL SERVIDOR COMISIONADO</t>
  </si>
  <si>
    <t>NOTA</t>
  </si>
  <si>
    <t>El presente informe deberá presentarse dentro del término de 4 días del cumplimiento de servicios institucionales, caso contrario la liquidación se demorará e incluso de no presentarlo tendría que restituir los valores percibidos. Cuando el cumplimiento de servicios institucionales sea superior al número de días autorizados, se deberá adjuntar la autorización por escrito de la Máxima Autoridad o su Delegado.</t>
  </si>
  <si>
    <t>Analista de Tecnologías de la Infomación y Comunicación</t>
  </si>
  <si>
    <t>TIC´s</t>
  </si>
  <si>
    <t>PIÑA Y FUEGO</t>
  </si>
  <si>
    <t>COMEDOR EL GATO</t>
  </si>
  <si>
    <t>HOSTAL LA TORRE</t>
  </si>
  <si>
    <t>LA FOGATA</t>
  </si>
  <si>
    <t>TEJADA MOLINA MARCELO RAFAEL
C.I 1714192034</t>
  </si>
  <si>
    <t>ANALISTA DE TECNOLOGÍAS DE LA INFORMACIÓN Y COMUNICACIÓN 3</t>
  </si>
  <si>
    <t xml:space="preserve">FRANCISCO DE ORELLANA COCA
</t>
  </si>
  <si>
    <r>
      <t xml:space="preserve">SERVIDORES QUE INTEGRAN EL SERVICIO INSTITUCIONAL:  
</t>
    </r>
    <r>
      <rPr>
        <sz val="8"/>
        <rFont val="Calibri"/>
        <family val="2"/>
      </rPr>
      <t>Ing. Juan Carlos Cardenas</t>
    </r>
  </si>
  <si>
    <t>001-002-000019440</t>
  </si>
  <si>
    <t>001-001-000001478</t>
  </si>
  <si>
    <t>003-001-000000920</t>
  </si>
  <si>
    <t>001-001-000000467</t>
  </si>
  <si>
    <t>Ing. Marcelo Tejada M.</t>
  </si>
  <si>
    <t>Director de Tecnologías de la Información y Comunicación(E)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</si>
</sst>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h:mm"/>
    <numFmt numFmtId="165" formatCode="hh:mm:ss;@"/>
  </numFmts>
  <fonts count="27" x14ac:knownFonts="1">
    <font>
      <sz val="11"/>
      <color theme="1"/>
      <name val="Calibri"/>
      <family val="2"/>
      <scheme val="minor"/>
    </font>
    <font>
      <sz val="10"/>
      <name val="Cambria"/>
      <family val="1"/>
    </font>
    <font>
      <b/>
      <sz val="10"/>
      <name val="Cambria"/>
      <family val="1"/>
    </font>
    <font>
      <sz val="8"/>
      <name val="Cambria"/>
      <family val="1"/>
    </font>
    <font>
      <sz val="7"/>
      <name val="Cambria"/>
      <family val="1"/>
    </font>
    <font>
      <i/>
      <sz val="8"/>
      <name val="Cambria"/>
      <family val="1"/>
    </font>
    <font>
      <sz val="10"/>
      <color indexed="8"/>
      <name val="Cambria"/>
      <family val="1"/>
    </font>
    <font>
      <b/>
      <sz val="3"/>
      <name val="Calibri"/>
      <family val="2"/>
      <scheme val="minor"/>
    </font>
    <font>
      <sz val="11"/>
      <name val="Calibri"/>
      <family val="2"/>
      <scheme val="minor"/>
    </font>
    <font>
      <b/>
      <sz val="8"/>
      <name val="Calibri"/>
      <family val="2"/>
      <scheme val="minor"/>
    </font>
    <font>
      <sz val="9"/>
      <name val="Calibri"/>
      <family val="2"/>
      <scheme val="minor"/>
    </font>
    <font>
      <sz val="8"/>
      <name val="Calibri"/>
      <family val="2"/>
      <scheme val="minor"/>
    </font>
    <font>
      <sz val="10"/>
      <name val="Calibri"/>
      <family val="2"/>
      <scheme val="minor"/>
    </font>
    <font>
      <sz val="8"/>
      <name val="Calibri"/>
      <family val="2"/>
    </font>
    <font>
      <b/>
      <sz val="8"/>
      <color rgb="FF000000"/>
      <name val="Calibri"/>
      <family val="2"/>
      <scheme val="minor"/>
    </font>
    <font>
      <sz val="7"/>
      <name val="Calibri"/>
      <family val="2"/>
      <scheme val="minor"/>
    </font>
    <font>
      <b/>
      <sz val="8"/>
      <color theme="1"/>
      <name val="Calibri"/>
      <family val="2"/>
      <scheme val="minor"/>
    </font>
    <font>
      <i/>
      <sz val="8"/>
      <name val="Calibri"/>
      <family val="2"/>
      <scheme val="minor"/>
    </font>
    <font>
      <b/>
      <i/>
      <u/>
      <sz val="8"/>
      <name val="Calibri"/>
      <family val="2"/>
      <scheme val="minor"/>
    </font>
    <font>
      <b/>
      <sz val="10"/>
      <name val="Calibri"/>
      <family val="2"/>
      <scheme val="minor"/>
    </font>
    <font>
      <b/>
      <sz val="11"/>
      <name val="Calibri"/>
      <family val="2"/>
      <scheme val="minor"/>
    </font>
    <font>
      <b/>
      <sz val="8"/>
      <name val="Tahoma"/>
      <family val="2"/>
    </font>
    <font>
      <sz val="8"/>
      <name val="Tahoma"/>
      <family val="2"/>
    </font>
    <font>
      <b/>
      <sz val="9"/>
      <name val="Tahoma"/>
      <family val="2"/>
    </font>
    <font>
      <b/>
      <sz val="9"/>
      <name val="Arial"/>
      <family val="2"/>
    </font>
    <font>
      <sz val="9"/>
      <name val="Arial"/>
      <family val="2"/>
    </font>
    <font>
      <sz val="9"/>
      <name val="Tahoma"/>
      <family val="2"/>
    </font>
  </fonts>
  <fills count="6">
    <fill>
      <patternFill patternType="none"/>
    </fill>
    <fill>
      <patternFill patternType="gray125"/>
    </fill>
    <fill>
      <patternFill patternType="solid">
        <fgColor theme="0" tint="-0.14999847407452621"/>
        <bgColor indexed="26"/>
      </patternFill>
    </fill>
    <fill>
      <patternFill patternType="solid">
        <fgColor rgb="FFE5E5E5"/>
        <bgColor indexed="64"/>
      </patternFill>
    </fill>
    <fill>
      <patternFill patternType="solid">
        <fgColor theme="2"/>
        <bgColor indexed="64"/>
      </patternFill>
    </fill>
    <fill>
      <patternFill patternType="solid">
        <fgColor theme="0"/>
        <bgColor indexed="64"/>
      </patternFill>
    </fill>
  </fills>
  <borders count="94">
    <border>
      <left/>
      <right/>
      <top/>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thin">
        <color indexed="8"/>
      </top>
      <bottom style="medium">
        <color indexed="8"/>
      </bottom>
      <diagonal/>
    </border>
    <border>
      <left style="thin">
        <color indexed="8"/>
      </left>
      <right style="thin">
        <color indexed="8"/>
      </right>
      <top style="medium">
        <color indexed="8"/>
      </top>
      <bottom style="thin">
        <color indexed="8"/>
      </bottom>
      <diagonal/>
    </border>
    <border>
      <left style="hair">
        <color indexed="8"/>
      </left>
      <right/>
      <top style="hair">
        <color indexed="8"/>
      </top>
      <bottom/>
      <diagonal/>
    </border>
    <border>
      <left style="medium">
        <color indexed="8"/>
      </left>
      <right style="medium">
        <color indexed="8"/>
      </right>
      <top style="medium">
        <color indexed="64"/>
      </top>
      <bottom style="medium">
        <color indexed="64"/>
      </bottom>
      <diagonal/>
    </border>
    <border>
      <left style="medium">
        <color indexed="8"/>
      </left>
      <right style="medium">
        <color indexed="8"/>
      </right>
      <top/>
      <bottom/>
      <diagonal/>
    </border>
    <border>
      <left/>
      <right style="medium">
        <color indexed="8"/>
      </right>
      <top style="medium">
        <color indexed="8"/>
      </top>
      <bottom/>
      <diagonal/>
    </border>
    <border>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style="medium">
        <color indexed="8"/>
      </left>
      <right/>
      <top style="thin">
        <color indexed="8"/>
      </top>
      <bottom style="medium">
        <color indexed="8"/>
      </bottom>
      <diagonal/>
    </border>
    <border>
      <left/>
      <right/>
      <top style="thin">
        <color indexed="8"/>
      </top>
      <bottom style="medium">
        <color indexed="8"/>
      </bottom>
      <diagonal/>
    </border>
    <border>
      <left/>
      <right style="medium">
        <color indexed="8"/>
      </right>
      <top style="thin">
        <color indexed="8"/>
      </top>
      <bottom style="medium">
        <color indexed="8"/>
      </bottom>
      <diagonal/>
    </border>
    <border>
      <left style="medium">
        <color indexed="8"/>
      </left>
      <right/>
      <top style="hair">
        <color indexed="8"/>
      </top>
      <bottom/>
      <diagonal/>
    </border>
    <border>
      <left/>
      <right style="medium">
        <color indexed="8"/>
      </right>
      <top style="thin">
        <color indexed="8"/>
      </top>
      <bottom style="medium">
        <color indexed="64"/>
      </bottom>
      <diagonal/>
    </border>
    <border>
      <left/>
      <right/>
      <top style="thin">
        <color indexed="8"/>
      </top>
      <bottom style="medium">
        <color indexed="64"/>
      </bottom>
      <diagonal/>
    </border>
    <border>
      <left style="medium">
        <color indexed="8"/>
      </left>
      <right/>
      <top/>
      <bottom/>
      <diagonal/>
    </border>
    <border>
      <left/>
      <right style="medium">
        <color indexed="8"/>
      </right>
      <top/>
      <bottom/>
      <diagonal/>
    </border>
    <border>
      <left style="medium">
        <color indexed="8"/>
      </left>
      <right/>
      <top style="medium">
        <color indexed="8"/>
      </top>
      <bottom/>
      <diagonal/>
    </border>
    <border>
      <left/>
      <right/>
      <top style="medium">
        <color indexed="8"/>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rgb="FF000000"/>
      </bottom>
      <diagonal/>
    </border>
    <border>
      <left/>
      <right/>
      <top/>
      <bottom style="medium">
        <color rgb="FF000000"/>
      </bottom>
      <diagonal/>
    </border>
    <border>
      <left/>
      <right style="medium">
        <color indexed="64"/>
      </right>
      <top/>
      <bottom style="medium">
        <color rgb="FF000000"/>
      </bottom>
      <diagonal/>
    </border>
    <border>
      <left style="medium">
        <color indexed="64"/>
      </left>
      <right/>
      <top style="medium">
        <color rgb="FF000000"/>
      </top>
      <bottom style="medium">
        <color rgb="FF000000"/>
      </bottom>
      <diagonal/>
    </border>
    <border>
      <left/>
      <right/>
      <top style="medium">
        <color rgb="FF000000"/>
      </top>
      <bottom style="medium">
        <color rgb="FF000000"/>
      </bottom>
      <diagonal/>
    </border>
    <border>
      <left/>
      <right style="medium">
        <color indexed="64"/>
      </right>
      <top style="medium">
        <color rgb="FF000000"/>
      </top>
      <bottom style="medium">
        <color rgb="FF000000"/>
      </bottom>
      <diagonal/>
    </border>
    <border>
      <left style="medium">
        <color indexed="64"/>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right style="medium">
        <color indexed="64"/>
      </right>
      <top style="medium">
        <color rgb="FF000000"/>
      </top>
      <bottom/>
      <diagonal/>
    </border>
    <border>
      <left style="medium">
        <color indexed="64"/>
      </left>
      <right/>
      <top style="thin">
        <color indexed="64"/>
      </top>
      <bottom style="medium">
        <color rgb="FF000000"/>
      </bottom>
      <diagonal/>
    </border>
    <border>
      <left/>
      <right/>
      <top style="thin">
        <color indexed="64"/>
      </top>
      <bottom style="medium">
        <color rgb="FF000000"/>
      </bottom>
      <diagonal/>
    </border>
    <border>
      <left/>
      <right style="medium">
        <color rgb="FF000000"/>
      </right>
      <top style="thin">
        <color indexed="64"/>
      </top>
      <bottom style="medium">
        <color rgb="FF000000"/>
      </bottom>
      <diagonal/>
    </border>
    <border>
      <left style="medium">
        <color rgb="FF000000"/>
      </left>
      <right/>
      <top style="thin">
        <color indexed="64"/>
      </top>
      <bottom style="medium">
        <color rgb="FF000000"/>
      </bottom>
      <diagonal/>
    </border>
    <border>
      <left/>
      <right style="medium">
        <color indexed="64"/>
      </right>
      <top style="thin">
        <color indexed="64"/>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thin">
        <color rgb="FF000000"/>
      </bottom>
      <diagonal/>
    </border>
    <border>
      <left/>
      <right style="medium">
        <color indexed="64"/>
      </right>
      <top/>
      <bottom style="thin">
        <color rgb="FF000000"/>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rgb="FF000000"/>
      </top>
      <bottom style="medium">
        <color indexed="64"/>
      </bottom>
      <diagonal/>
    </border>
    <border>
      <left/>
      <right style="medium">
        <color indexed="64"/>
      </right>
      <top style="thin">
        <color rgb="FF000000"/>
      </top>
      <bottom style="medium">
        <color indexed="64"/>
      </bottom>
      <diagonal/>
    </border>
    <border>
      <left/>
      <right style="thin">
        <color indexed="64"/>
      </right>
      <top style="medium">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bottom/>
      <diagonal/>
    </border>
    <border>
      <left/>
      <right style="medium">
        <color indexed="64"/>
      </right>
      <top/>
      <bottom/>
      <diagonal/>
    </border>
    <border>
      <left style="medium">
        <color indexed="64"/>
      </left>
      <right/>
      <top/>
      <bottom/>
      <diagonal/>
    </border>
    <border>
      <left style="medium">
        <color indexed="64"/>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indexed="64"/>
      </right>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indexed="64"/>
      </right>
      <top/>
      <bottom style="medium">
        <color indexed="64"/>
      </bottom>
      <diagonal/>
    </border>
  </borders>
  <cellStyleXfs count="1">
    <xf numFmtId="0" fontId="0" fillId="0" borderId="0"/>
  </cellStyleXfs>
  <cellXfs count="236">
    <xf numFmtId="0" fontId="0" fillId="0" borderId="0" xfId="0"/>
    <xf numFmtId="14" fontId="2" fillId="0" borderId="2" xfId="0" applyNumberFormat="1" applyFont="1" applyBorder="1" applyAlignment="1">
      <alignment horizontal="center" vertical="center" wrapText="1"/>
    </xf>
    <xf numFmtId="0" fontId="1" fillId="0" borderId="0" xfId="0" applyFont="1"/>
    <xf numFmtId="0" fontId="2" fillId="0" borderId="2"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 xfId="0" applyFont="1" applyBorder="1" applyAlignment="1">
      <alignment horizontal="center" vertical="center" wrapText="1"/>
    </xf>
    <xf numFmtId="14" fontId="2" fillId="0" borderId="1" xfId="0" applyNumberFormat="1" applyFont="1" applyBorder="1" applyAlignment="1">
      <alignment horizontal="center" vertical="center" wrapText="1"/>
    </xf>
    <xf numFmtId="164" fontId="2" fillId="0" borderId="15" xfId="0" applyNumberFormat="1" applyFont="1" applyBorder="1" applyAlignment="1">
      <alignment horizontal="center" vertical="center" wrapText="1"/>
    </xf>
    <xf numFmtId="14" fontId="1" fillId="0" borderId="2" xfId="0" applyNumberFormat="1" applyFont="1" applyBorder="1" applyAlignment="1">
      <alignment horizontal="center" vertical="center" wrapText="1"/>
    </xf>
    <xf numFmtId="0" fontId="1" fillId="0" borderId="14" xfId="0" applyFont="1" applyBorder="1" applyAlignment="1">
      <alignment horizontal="center" vertical="center" wrapText="1"/>
    </xf>
    <xf numFmtId="0" fontId="1" fillId="0" borderId="7" xfId="0" applyFont="1" applyBorder="1" applyAlignment="1">
      <alignment horizontal="center" vertical="top" wrapText="1"/>
    </xf>
    <xf numFmtId="0" fontId="1" fillId="0" borderId="7" xfId="0" applyFont="1" applyBorder="1" applyAlignment="1">
      <alignment horizontal="left" vertical="top" wrapText="1"/>
    </xf>
    <xf numFmtId="0" fontId="8" fillId="0" borderId="0" xfId="0" applyFont="1"/>
    <xf numFmtId="0" fontId="14" fillId="4" borderId="55" xfId="0" applyFont="1" applyFill="1" applyBorder="1" applyAlignment="1">
      <alignment horizontal="center" vertical="center" wrapText="1"/>
    </xf>
    <xf numFmtId="0" fontId="8" fillId="0" borderId="59" xfId="0" applyFont="1" applyBorder="1" applyAlignment="1">
      <alignment horizontal="center" vertical="center" wrapText="1"/>
    </xf>
    <xf numFmtId="0" fontId="0" fillId="5" borderId="61" xfId="0" applyFill="1" applyBorder="1" applyAlignment="1">
      <alignment horizontal="center"/>
    </xf>
    <xf numFmtId="0" fontId="0" fillId="5" borderId="62" xfId="0" applyFill="1" applyBorder="1" applyAlignment="1">
      <alignment horizontal="center"/>
    </xf>
    <xf numFmtId="0" fontId="0" fillId="5" borderId="63" xfId="0" applyFill="1" applyBorder="1" applyAlignment="1">
      <alignment horizontal="center"/>
    </xf>
    <xf numFmtId="0" fontId="9" fillId="0" borderId="87" xfId="0" applyFont="1" applyBorder="1" applyAlignment="1">
      <alignment horizontal="center" vertical="center" wrapText="1"/>
    </xf>
    <xf numFmtId="0" fontId="9" fillId="0" borderId="88" xfId="0" applyFont="1" applyBorder="1" applyAlignment="1">
      <alignment horizontal="center" vertical="center" wrapText="1"/>
    </xf>
    <xf numFmtId="14" fontId="11" fillId="0" borderId="87" xfId="0" applyNumberFormat="1" applyFont="1" applyBorder="1" applyAlignment="1">
      <alignment horizontal="center" vertical="center" wrapText="1"/>
    </xf>
    <xf numFmtId="165" fontId="11" fillId="0" borderId="87" xfId="0" applyNumberFormat="1" applyFont="1" applyBorder="1" applyAlignment="1">
      <alignment horizontal="center" vertical="center" wrapText="1"/>
    </xf>
    <xf numFmtId="165" fontId="11" fillId="0" borderId="88" xfId="0" applyNumberFormat="1" applyFont="1" applyBorder="1" applyAlignment="1">
      <alignment horizontal="center" vertical="center" wrapText="1"/>
    </xf>
    <xf numFmtId="0" fontId="8" fillId="0" borderId="0" xfId="0" applyFont="1" applyAlignment="1">
      <alignment horizontal="center"/>
    </xf>
    <xf numFmtId="0" fontId="7" fillId="0" borderId="27" xfId="0" applyFont="1" applyBorder="1" applyAlignment="1">
      <alignment horizontal="center" wrapText="1"/>
    </xf>
    <xf numFmtId="0" fontId="7" fillId="0" borderId="28" xfId="0" applyFont="1" applyBorder="1" applyAlignment="1">
      <alignment horizontal="center" wrapText="1"/>
    </xf>
    <xf numFmtId="0" fontId="7" fillId="0" borderId="29" xfId="0" applyFont="1" applyBorder="1" applyAlignment="1">
      <alignment horizontal="center" wrapText="1"/>
    </xf>
    <xf numFmtId="0" fontId="7" fillId="0" borderId="30" xfId="0" applyFont="1" applyBorder="1" applyAlignment="1">
      <alignment horizontal="center" wrapText="1"/>
    </xf>
    <xf numFmtId="0" fontId="7" fillId="0" borderId="31" xfId="0" applyFont="1" applyBorder="1" applyAlignment="1">
      <alignment horizontal="center" wrapText="1"/>
    </xf>
    <xf numFmtId="0" fontId="7" fillId="0" borderId="32" xfId="0" applyFont="1" applyBorder="1" applyAlignment="1">
      <alignment horizontal="center" wrapText="1"/>
    </xf>
    <xf numFmtId="0" fontId="9" fillId="3" borderId="33" xfId="0" applyFont="1" applyFill="1" applyBorder="1" applyAlignment="1">
      <alignment horizontal="center" vertical="center" wrapText="1"/>
    </xf>
    <xf numFmtId="0" fontId="9" fillId="3" borderId="34" xfId="0" applyFont="1" applyFill="1" applyBorder="1" applyAlignment="1">
      <alignment horizontal="center" vertical="center" wrapText="1"/>
    </xf>
    <xf numFmtId="0" fontId="9" fillId="3" borderId="35" xfId="0" applyFont="1" applyFill="1" applyBorder="1" applyAlignment="1">
      <alignment horizontal="center" vertical="center" wrapText="1"/>
    </xf>
    <xf numFmtId="0" fontId="9" fillId="0" borderId="36" xfId="0" applyFont="1" applyBorder="1" applyAlignment="1">
      <alignment horizontal="center" vertical="top" wrapText="1"/>
    </xf>
    <xf numFmtId="0" fontId="9" fillId="0" borderId="37" xfId="0" applyFont="1" applyBorder="1" applyAlignment="1">
      <alignment horizontal="center" vertical="top" wrapText="1"/>
    </xf>
    <xf numFmtId="0" fontId="9" fillId="0" borderId="38" xfId="0" applyFont="1" applyBorder="1" applyAlignment="1">
      <alignment horizontal="center" vertical="top" wrapText="1"/>
    </xf>
    <xf numFmtId="0" fontId="9" fillId="0" borderId="39" xfId="0" applyFont="1" applyBorder="1" applyAlignment="1">
      <alignment horizontal="center" vertical="center" wrapText="1"/>
    </xf>
    <xf numFmtId="0" fontId="9" fillId="0" borderId="37" xfId="0" applyFont="1" applyBorder="1" applyAlignment="1">
      <alignment horizontal="center" vertical="center" wrapText="1"/>
    </xf>
    <xf numFmtId="0" fontId="9" fillId="0" borderId="40" xfId="0" applyFont="1" applyBorder="1" applyAlignment="1">
      <alignment horizontal="center" vertical="center" wrapText="1"/>
    </xf>
    <xf numFmtId="0" fontId="10" fillId="0" borderId="41" xfId="0" applyFont="1" applyBorder="1" applyAlignment="1">
      <alignment horizontal="center" vertical="top" wrapText="1"/>
    </xf>
    <xf numFmtId="0" fontId="10" fillId="0" borderId="42" xfId="0" applyFont="1" applyBorder="1" applyAlignment="1">
      <alignment horizontal="center" vertical="top" wrapText="1"/>
    </xf>
    <xf numFmtId="0" fontId="10" fillId="0" borderId="43" xfId="0" applyFont="1" applyBorder="1" applyAlignment="1">
      <alignment horizontal="center" vertical="top" wrapText="1"/>
    </xf>
    <xf numFmtId="14" fontId="11" fillId="0" borderId="44" xfId="0" applyNumberFormat="1" applyFont="1" applyBorder="1" applyAlignment="1">
      <alignment horizontal="center" vertical="center" wrapText="1"/>
    </xf>
    <xf numFmtId="14" fontId="11" fillId="0" borderId="42" xfId="0" applyNumberFormat="1" applyFont="1" applyBorder="1" applyAlignment="1">
      <alignment horizontal="center" vertical="center" wrapText="1"/>
    </xf>
    <xf numFmtId="14" fontId="11" fillId="0" borderId="45" xfId="0" applyNumberFormat="1" applyFont="1" applyBorder="1" applyAlignment="1">
      <alignment horizontal="center" vertical="center" wrapText="1"/>
    </xf>
    <xf numFmtId="0" fontId="9" fillId="3" borderId="36" xfId="0" applyFont="1" applyFill="1" applyBorder="1" applyAlignment="1">
      <alignment horizontal="center" vertical="center" wrapText="1"/>
    </xf>
    <xf numFmtId="0" fontId="9" fillId="3" borderId="37" xfId="0" applyFont="1" applyFill="1" applyBorder="1" applyAlignment="1">
      <alignment horizontal="center" vertical="center" wrapText="1"/>
    </xf>
    <xf numFmtId="0" fontId="9" fillId="3" borderId="40" xfId="0" applyFont="1" applyFill="1" applyBorder="1" applyAlignment="1">
      <alignment horizontal="center" vertical="center" wrapText="1"/>
    </xf>
    <xf numFmtId="0" fontId="9" fillId="0" borderId="46" xfId="0" applyFont="1" applyBorder="1" applyAlignment="1">
      <alignment horizontal="center" vertical="top" wrapText="1"/>
    </xf>
    <xf numFmtId="0" fontId="9" fillId="0" borderId="47" xfId="0" applyFont="1" applyBorder="1" applyAlignment="1">
      <alignment horizontal="center" vertical="top" wrapText="1"/>
    </xf>
    <xf numFmtId="0" fontId="9" fillId="0" borderId="47" xfId="0" applyFont="1" applyBorder="1" applyAlignment="1">
      <alignment horizontal="left" vertical="top" wrapText="1"/>
    </xf>
    <xf numFmtId="0" fontId="9" fillId="0" borderId="48" xfId="0" applyFont="1" applyBorder="1" applyAlignment="1">
      <alignment horizontal="left" vertical="top" wrapText="1"/>
    </xf>
    <xf numFmtId="0" fontId="12" fillId="0" borderId="49" xfId="0" applyFont="1" applyBorder="1" applyAlignment="1">
      <alignment horizontal="center" vertical="center" wrapText="1"/>
    </xf>
    <xf numFmtId="0" fontId="12" fillId="0" borderId="50" xfId="0" applyFont="1" applyBorder="1" applyAlignment="1">
      <alignment horizontal="center" vertical="center" wrapText="1"/>
    </xf>
    <xf numFmtId="0" fontId="12" fillId="0" borderId="51" xfId="0" applyFont="1" applyBorder="1" applyAlignment="1">
      <alignment horizontal="center" vertical="center" wrapText="1"/>
    </xf>
    <xf numFmtId="0" fontId="9" fillId="0" borderId="49" xfId="0" applyFont="1" applyBorder="1" applyAlignment="1">
      <alignment horizontal="center" vertical="top" wrapText="1"/>
    </xf>
    <xf numFmtId="0" fontId="9" fillId="0" borderId="50" xfId="0" applyFont="1" applyBorder="1" applyAlignment="1">
      <alignment horizontal="center" vertical="top" wrapText="1"/>
    </xf>
    <xf numFmtId="0" fontId="9" fillId="0" borderId="51" xfId="0" applyFont="1" applyBorder="1" applyAlignment="1">
      <alignment horizontal="center" vertical="top" wrapText="1"/>
    </xf>
    <xf numFmtId="0" fontId="11" fillId="0" borderId="49" xfId="0" applyFont="1" applyBorder="1" applyAlignment="1">
      <alignment horizontal="center" vertical="top" wrapText="1"/>
    </xf>
    <xf numFmtId="0" fontId="11" fillId="0" borderId="50" xfId="0" applyFont="1" applyBorder="1" applyAlignment="1">
      <alignment horizontal="center" vertical="top" wrapText="1"/>
    </xf>
    <xf numFmtId="0" fontId="11" fillId="0" borderId="51" xfId="0" applyFont="1" applyBorder="1" applyAlignment="1">
      <alignment horizontal="center" vertical="top" wrapText="1"/>
    </xf>
    <xf numFmtId="0" fontId="9" fillId="0" borderId="52" xfId="0" applyFont="1" applyBorder="1" applyAlignment="1">
      <alignment horizontal="left" vertical="top" wrapText="1"/>
    </xf>
    <xf numFmtId="0" fontId="9" fillId="0" borderId="53" xfId="0" applyFont="1" applyBorder="1" applyAlignment="1">
      <alignment horizontal="left" vertical="top" wrapText="1"/>
    </xf>
    <xf numFmtId="0" fontId="9" fillId="0" borderId="54" xfId="0" applyFont="1" applyBorder="1" applyAlignment="1">
      <alignment horizontal="left" vertical="top" wrapText="1"/>
    </xf>
    <xf numFmtId="0" fontId="9" fillId="3" borderId="30" xfId="0" applyFont="1" applyFill="1" applyBorder="1" applyAlignment="1">
      <alignment horizontal="center" vertical="center" wrapText="1"/>
    </xf>
    <xf numFmtId="0" fontId="9" fillId="3" borderId="31" xfId="0" applyFont="1" applyFill="1" applyBorder="1" applyAlignment="1">
      <alignment horizontal="center" vertical="center" wrapText="1"/>
    </xf>
    <xf numFmtId="0" fontId="9" fillId="3" borderId="32" xfId="0" applyFont="1" applyFill="1" applyBorder="1" applyAlignment="1">
      <alignment horizontal="center" vertical="center" wrapText="1"/>
    </xf>
    <xf numFmtId="0" fontId="10" fillId="0" borderId="36" xfId="0" applyFont="1" applyBorder="1" applyAlignment="1">
      <alignment horizontal="left" vertical="center" wrapText="1"/>
    </xf>
    <xf numFmtId="0" fontId="10" fillId="0" borderId="37" xfId="0" applyFont="1" applyBorder="1" applyAlignment="1">
      <alignment horizontal="left" vertical="center" wrapText="1"/>
    </xf>
    <xf numFmtId="0" fontId="10" fillId="0" borderId="40" xfId="0" applyFont="1" applyBorder="1" applyAlignment="1">
      <alignment horizontal="left" vertical="center" wrapText="1"/>
    </xf>
    <xf numFmtId="0" fontId="10" fillId="0" borderId="30" xfId="0" applyFont="1" applyBorder="1" applyAlignment="1">
      <alignment horizontal="left" vertical="center" wrapText="1"/>
    </xf>
    <xf numFmtId="0" fontId="10" fillId="0" borderId="31" xfId="0" applyFont="1" applyBorder="1" applyAlignment="1">
      <alignment horizontal="left" vertical="center" wrapText="1"/>
    </xf>
    <xf numFmtId="0" fontId="10" fillId="0" borderId="32" xfId="0" applyFont="1" applyBorder="1" applyAlignment="1">
      <alignment horizontal="left" vertical="center" wrapText="1"/>
    </xf>
    <xf numFmtId="0" fontId="9" fillId="3" borderId="56" xfId="0" applyFont="1" applyFill="1" applyBorder="1" applyAlignment="1">
      <alignment horizontal="center" vertical="center" wrapText="1"/>
    </xf>
    <xf numFmtId="0" fontId="9" fillId="3" borderId="57" xfId="0" applyFont="1" applyFill="1" applyBorder="1" applyAlignment="1">
      <alignment horizontal="center" vertical="center" wrapText="1"/>
    </xf>
    <xf numFmtId="0" fontId="9" fillId="3" borderId="58" xfId="0" applyFont="1" applyFill="1" applyBorder="1" applyAlignment="1">
      <alignment horizontal="center" vertical="center" wrapText="1"/>
    </xf>
    <xf numFmtId="0" fontId="0" fillId="5" borderId="60" xfId="0" applyFill="1" applyBorder="1" applyAlignment="1">
      <alignment horizontal="center"/>
    </xf>
    <xf numFmtId="0" fontId="15" fillId="0" borderId="60" xfId="0" applyFont="1" applyBorder="1" applyAlignment="1">
      <alignment horizontal="left" vertical="center" wrapText="1"/>
    </xf>
    <xf numFmtId="4" fontId="0" fillId="0" borderId="50" xfId="0" applyNumberFormat="1" applyBorder="1" applyAlignment="1">
      <alignment horizontal="center"/>
    </xf>
    <xf numFmtId="0" fontId="0" fillId="5" borderId="50" xfId="0" applyFill="1" applyBorder="1" applyAlignment="1">
      <alignment horizontal="center"/>
    </xf>
    <xf numFmtId="0" fontId="15" fillId="0" borderId="61" xfId="0" applyFont="1" applyBorder="1" applyAlignment="1">
      <alignment horizontal="left" vertical="center" wrapText="1"/>
    </xf>
    <xf numFmtId="0" fontId="15" fillId="0" borderId="62" xfId="0" applyFont="1" applyBorder="1" applyAlignment="1">
      <alignment horizontal="left" vertical="center" wrapText="1"/>
    </xf>
    <xf numFmtId="0" fontId="15" fillId="0" borderId="63" xfId="0" applyFont="1" applyBorder="1" applyAlignment="1">
      <alignment horizontal="left" vertical="center" wrapText="1"/>
    </xf>
    <xf numFmtId="0" fontId="0" fillId="5" borderId="61" xfId="0" applyFill="1" applyBorder="1" applyAlignment="1">
      <alignment horizontal="center"/>
    </xf>
    <xf numFmtId="0" fontId="0" fillId="5" borderId="62" xfId="0" applyFill="1" applyBorder="1" applyAlignment="1">
      <alignment horizontal="center"/>
    </xf>
    <xf numFmtId="0" fontId="0" fillId="5" borderId="63" xfId="0" applyFill="1" applyBorder="1" applyAlignment="1">
      <alignment horizontal="center"/>
    </xf>
    <xf numFmtId="0" fontId="16" fillId="0" borderId="56" xfId="0" applyFont="1" applyBorder="1" applyAlignment="1">
      <alignment horizontal="left" vertical="center" wrapText="1"/>
    </xf>
    <xf numFmtId="0" fontId="16" fillId="0" borderId="57" xfId="0" applyFont="1" applyBorder="1" applyAlignment="1">
      <alignment horizontal="left" vertical="center" wrapText="1"/>
    </xf>
    <xf numFmtId="0" fontId="16" fillId="0" borderId="58" xfId="0" applyFont="1" applyBorder="1" applyAlignment="1">
      <alignment horizontal="left" vertical="center" wrapText="1"/>
    </xf>
    <xf numFmtId="4" fontId="8" fillId="0" borderId="56" xfId="0" applyNumberFormat="1" applyFont="1" applyBorder="1" applyAlignment="1">
      <alignment horizontal="center" vertical="center" wrapText="1"/>
    </xf>
    <xf numFmtId="4" fontId="8" fillId="0" borderId="58" xfId="0" applyNumberFormat="1" applyFont="1" applyBorder="1" applyAlignment="1">
      <alignment horizontal="center" vertical="center" wrapText="1"/>
    </xf>
    <xf numFmtId="4" fontId="0" fillId="0" borderId="61" xfId="0" applyNumberFormat="1" applyBorder="1" applyAlignment="1">
      <alignment horizontal="center"/>
    </xf>
    <xf numFmtId="4" fontId="0" fillId="0" borderId="63" xfId="0" applyNumberFormat="1" applyBorder="1" applyAlignment="1">
      <alignment horizontal="center"/>
    </xf>
    <xf numFmtId="4" fontId="0" fillId="0" borderId="60" xfId="0" applyNumberFormat="1" applyBorder="1" applyAlignment="1">
      <alignment horizontal="center"/>
    </xf>
    <xf numFmtId="0" fontId="16" fillId="0" borderId="59" xfId="0" applyFont="1" applyBorder="1" applyAlignment="1">
      <alignment horizontal="left" vertical="center" wrapText="1"/>
    </xf>
    <xf numFmtId="0" fontId="16" fillId="0" borderId="64" xfId="0" applyFont="1" applyBorder="1" applyAlignment="1">
      <alignment horizontal="left" vertical="center" wrapText="1"/>
    </xf>
    <xf numFmtId="0" fontId="16" fillId="0" borderId="65" xfId="0" applyFont="1" applyBorder="1" applyAlignment="1">
      <alignment horizontal="left" vertical="center" wrapText="1"/>
    </xf>
    <xf numFmtId="4" fontId="8" fillId="0" borderId="66" xfId="0" applyNumberFormat="1" applyFont="1" applyBorder="1" applyAlignment="1">
      <alignment horizontal="center" vertical="center" wrapText="1"/>
    </xf>
    <xf numFmtId="4" fontId="8" fillId="0" borderId="67" xfId="0" applyNumberFormat="1" applyFont="1" applyBorder="1" applyAlignment="1">
      <alignment horizontal="center" vertical="center" wrapText="1"/>
    </xf>
    <xf numFmtId="0" fontId="16" fillId="0" borderId="68" xfId="0" applyFont="1" applyBorder="1" applyAlignment="1">
      <alignment horizontal="left" vertical="center"/>
    </xf>
    <xf numFmtId="0" fontId="16" fillId="0" borderId="69" xfId="0" applyFont="1" applyBorder="1" applyAlignment="1">
      <alignment horizontal="left" vertical="center"/>
    </xf>
    <xf numFmtId="0" fontId="16" fillId="0" borderId="70" xfId="0" applyFont="1" applyBorder="1" applyAlignment="1">
      <alignment horizontal="left" vertical="center"/>
    </xf>
    <xf numFmtId="4" fontId="8" fillId="0" borderId="71" xfId="0" applyNumberFormat="1" applyFont="1" applyBorder="1" applyAlignment="1">
      <alignment horizontal="center" vertical="center" wrapText="1"/>
    </xf>
    <xf numFmtId="4" fontId="8" fillId="0" borderId="72" xfId="0" applyNumberFormat="1" applyFont="1" applyBorder="1" applyAlignment="1">
      <alignment horizontal="center" vertical="center" wrapText="1"/>
    </xf>
    <xf numFmtId="0" fontId="9" fillId="0" borderId="27" xfId="0" applyFont="1" applyBorder="1" applyAlignment="1">
      <alignment horizontal="center" vertical="center" wrapText="1"/>
    </xf>
    <xf numFmtId="0" fontId="9" fillId="0" borderId="29" xfId="0" applyFont="1" applyBorder="1" applyAlignment="1">
      <alignment horizontal="center" vertical="center" wrapText="1"/>
    </xf>
    <xf numFmtId="14" fontId="11" fillId="0" borderId="36" xfId="0" applyNumberFormat="1" applyFont="1" applyBorder="1" applyAlignment="1" applyProtection="1">
      <alignment horizontal="center" vertical="center" wrapText="1"/>
      <protection locked="0"/>
    </xf>
    <xf numFmtId="14" fontId="11" fillId="0" borderId="37" xfId="0" applyNumberFormat="1" applyFont="1" applyBorder="1" applyAlignment="1" applyProtection="1">
      <alignment horizontal="center" vertical="center" wrapText="1"/>
      <protection locked="0"/>
    </xf>
    <xf numFmtId="14" fontId="11" fillId="0" borderId="40" xfId="0" applyNumberFormat="1" applyFont="1" applyBorder="1" applyAlignment="1" applyProtection="1">
      <alignment horizontal="center" vertical="center" wrapText="1"/>
      <protection locked="0"/>
    </xf>
    <xf numFmtId="14" fontId="11" fillId="0" borderId="30" xfId="0" applyNumberFormat="1" applyFont="1" applyBorder="1" applyAlignment="1" applyProtection="1">
      <alignment horizontal="center" vertical="center" wrapText="1"/>
      <protection locked="0"/>
    </xf>
    <xf numFmtId="14" fontId="11" fillId="0" borderId="31" xfId="0" applyNumberFormat="1" applyFont="1" applyBorder="1" applyAlignment="1" applyProtection="1">
      <alignment horizontal="center" vertical="center" wrapText="1"/>
      <protection locked="0"/>
    </xf>
    <xf numFmtId="14" fontId="11" fillId="0" borderId="32" xfId="0" applyNumberFormat="1" applyFont="1" applyBorder="1" applyAlignment="1" applyProtection="1">
      <alignment horizontal="center" vertical="center" wrapText="1"/>
      <protection locked="0"/>
    </xf>
    <xf numFmtId="14" fontId="11" fillId="0" borderId="27" xfId="0" applyNumberFormat="1" applyFont="1" applyBorder="1" applyAlignment="1">
      <alignment horizontal="center" vertical="center" wrapText="1"/>
    </xf>
    <xf numFmtId="14" fontId="11" fillId="0" borderId="28" xfId="0" applyNumberFormat="1" applyFont="1" applyBorder="1" applyAlignment="1">
      <alignment horizontal="center" vertical="center" wrapText="1"/>
    </xf>
    <xf numFmtId="14" fontId="11" fillId="0" borderId="73" xfId="0" applyNumberFormat="1" applyFont="1" applyBorder="1" applyAlignment="1">
      <alignment horizontal="center" vertical="center" wrapText="1"/>
    </xf>
    <xf numFmtId="14" fontId="11" fillId="0" borderId="77" xfId="0" applyNumberFormat="1" applyFont="1" applyBorder="1" applyAlignment="1">
      <alignment horizontal="center" vertical="center" wrapText="1"/>
    </xf>
    <xf numFmtId="14" fontId="11" fillId="0" borderId="78" xfId="0" applyNumberFormat="1" applyFont="1" applyBorder="1" applyAlignment="1">
      <alignment horizontal="center" vertical="center" wrapText="1"/>
    </xf>
    <xf numFmtId="14" fontId="11" fillId="0" borderId="79" xfId="0" applyNumberFormat="1" applyFont="1" applyBorder="1" applyAlignment="1">
      <alignment horizontal="center" vertical="center" wrapText="1"/>
    </xf>
    <xf numFmtId="0" fontId="17" fillId="0" borderId="74" xfId="0" applyFont="1" applyBorder="1" applyAlignment="1">
      <alignment horizontal="left" vertical="top" wrapText="1"/>
    </xf>
    <xf numFmtId="0" fontId="17" fillId="0" borderId="75" xfId="0" applyFont="1" applyBorder="1" applyAlignment="1">
      <alignment horizontal="left" vertical="top" wrapText="1"/>
    </xf>
    <xf numFmtId="0" fontId="17" fillId="0" borderId="76" xfId="0" applyFont="1" applyBorder="1" applyAlignment="1">
      <alignment horizontal="left" vertical="top" wrapText="1"/>
    </xf>
    <xf numFmtId="0" fontId="17" fillId="0" borderId="80" xfId="0" applyFont="1" applyBorder="1" applyAlignment="1">
      <alignment horizontal="left" vertical="top" wrapText="1"/>
    </xf>
    <xf numFmtId="0" fontId="17" fillId="0" borderId="0" xfId="0" applyFont="1" applyAlignment="1">
      <alignment horizontal="left" vertical="top" wrapText="1"/>
    </xf>
    <xf numFmtId="0" fontId="17" fillId="0" borderId="81" xfId="0" applyFont="1" applyBorder="1" applyAlignment="1">
      <alignment horizontal="left" vertical="top" wrapText="1"/>
    </xf>
    <xf numFmtId="0" fontId="9" fillId="0" borderId="30" xfId="0" applyFont="1" applyBorder="1" applyAlignment="1">
      <alignment horizontal="center" vertical="center" wrapText="1"/>
    </xf>
    <xf numFmtId="0" fontId="9" fillId="0" borderId="32" xfId="0" applyFont="1" applyBorder="1" applyAlignment="1">
      <alignment horizontal="center" vertical="center" wrapText="1"/>
    </xf>
    <xf numFmtId="0" fontId="9" fillId="0" borderId="36" xfId="0" applyFont="1" applyBorder="1" applyAlignment="1">
      <alignment horizontal="center" vertical="center" wrapText="1"/>
    </xf>
    <xf numFmtId="18" fontId="11" fillId="0" borderId="37" xfId="0" applyNumberFormat="1" applyFont="1" applyBorder="1" applyAlignment="1">
      <alignment horizontal="center" vertical="center" wrapText="1"/>
    </xf>
    <xf numFmtId="18" fontId="11" fillId="0" borderId="0" xfId="0" applyNumberFormat="1" applyFont="1" applyAlignment="1">
      <alignment horizontal="center" vertical="center" wrapText="1"/>
    </xf>
    <xf numFmtId="18" fontId="11" fillId="0" borderId="82" xfId="0" applyNumberFormat="1" applyFont="1" applyBorder="1" applyAlignment="1">
      <alignment horizontal="center" vertical="center" wrapText="1"/>
    </xf>
    <xf numFmtId="0" fontId="9" fillId="0" borderId="82" xfId="0" applyFont="1" applyBorder="1" applyAlignment="1">
      <alignment horizontal="center" vertical="center" wrapText="1"/>
    </xf>
    <xf numFmtId="0" fontId="9" fillId="0" borderId="81" xfId="0" applyFont="1" applyBorder="1" applyAlignment="1">
      <alignment horizontal="center" vertical="center" wrapText="1"/>
    </xf>
    <xf numFmtId="0" fontId="9" fillId="0" borderId="83" xfId="0" applyFont="1" applyBorder="1" applyAlignment="1">
      <alignment horizontal="center" vertical="center" wrapText="1"/>
    </xf>
    <xf numFmtId="0" fontId="9" fillId="0" borderId="84" xfId="0" applyFont="1" applyBorder="1" applyAlignment="1">
      <alignment horizontal="center" vertical="center" wrapText="1"/>
    </xf>
    <xf numFmtId="0" fontId="9" fillId="0" borderId="86" xfId="0" applyFont="1" applyBorder="1" applyAlignment="1">
      <alignment horizontal="center" vertical="center" wrapText="1"/>
    </xf>
    <xf numFmtId="0" fontId="9" fillId="0" borderId="87" xfId="0" applyFont="1" applyBorder="1" applyAlignment="1">
      <alignment horizontal="center" vertical="center" wrapText="1"/>
    </xf>
    <xf numFmtId="0" fontId="9" fillId="0" borderId="85" xfId="0" applyFont="1" applyBorder="1" applyAlignment="1">
      <alignment horizontal="center" vertical="center" wrapText="1"/>
    </xf>
    <xf numFmtId="0" fontId="9" fillId="0" borderId="88" xfId="0" applyFont="1" applyBorder="1" applyAlignment="1">
      <alignment horizontal="center" vertical="center" wrapText="1"/>
    </xf>
    <xf numFmtId="0" fontId="11" fillId="0" borderId="89" xfId="0" applyFont="1" applyBorder="1" applyAlignment="1">
      <alignment horizontal="center" vertical="center" wrapText="1"/>
    </xf>
    <xf numFmtId="0" fontId="11" fillId="0" borderId="90" xfId="0" applyFont="1" applyBorder="1" applyAlignment="1">
      <alignment horizontal="center" vertical="center" wrapText="1"/>
    </xf>
    <xf numFmtId="165" fontId="11" fillId="0" borderId="91" xfId="0" applyNumberFormat="1" applyFont="1" applyBorder="1" applyAlignment="1">
      <alignment horizontal="center" vertical="center" wrapText="1"/>
    </xf>
    <xf numFmtId="165" fontId="11" fillId="0" borderId="92" xfId="0" applyNumberFormat="1" applyFont="1" applyBorder="1" applyAlignment="1">
      <alignment horizontal="center" vertical="center" wrapText="1"/>
    </xf>
    <xf numFmtId="165" fontId="11" fillId="0" borderId="90" xfId="0" applyNumberFormat="1" applyFont="1" applyBorder="1" applyAlignment="1">
      <alignment horizontal="center" vertical="center" wrapText="1"/>
    </xf>
    <xf numFmtId="0" fontId="11" fillId="0" borderId="91" xfId="0" applyFont="1" applyBorder="1" applyAlignment="1">
      <alignment horizontal="center" vertical="center" wrapText="1"/>
    </xf>
    <xf numFmtId="0" fontId="11" fillId="0" borderId="92" xfId="0" applyFont="1" applyBorder="1" applyAlignment="1">
      <alignment horizontal="center" vertical="center" wrapText="1"/>
    </xf>
    <xf numFmtId="0" fontId="9" fillId="3" borderId="77" xfId="0" applyFont="1" applyFill="1" applyBorder="1" applyAlignment="1">
      <alignment horizontal="center" vertical="center" wrapText="1"/>
    </xf>
    <xf numFmtId="0" fontId="9" fillId="3" borderId="78" xfId="0" applyFont="1" applyFill="1" applyBorder="1" applyAlignment="1">
      <alignment horizontal="center" vertical="center" wrapText="1"/>
    </xf>
    <xf numFmtId="0" fontId="11" fillId="0" borderId="49" xfId="0" applyFont="1" applyBorder="1" applyAlignment="1">
      <alignment horizontal="justify" vertical="center" wrapText="1"/>
    </xf>
    <xf numFmtId="0" fontId="11" fillId="0" borderId="50" xfId="0" applyFont="1" applyBorder="1" applyAlignment="1">
      <alignment horizontal="justify" vertical="center" wrapText="1"/>
    </xf>
    <xf numFmtId="0" fontId="11" fillId="0" borderId="51" xfId="0" applyFont="1" applyBorder="1" applyAlignment="1">
      <alignment horizontal="justify" vertical="center" wrapText="1"/>
    </xf>
    <xf numFmtId="0" fontId="9" fillId="3" borderId="27" xfId="0" applyFont="1" applyFill="1" applyBorder="1" applyAlignment="1">
      <alignment horizontal="center" vertical="center" wrapText="1"/>
    </xf>
    <xf numFmtId="0" fontId="9" fillId="3" borderId="28" xfId="0" applyFont="1" applyFill="1" applyBorder="1" applyAlignment="1">
      <alignment horizontal="center" vertical="center" wrapText="1"/>
    </xf>
    <xf numFmtId="0" fontId="11" fillId="0" borderId="27" xfId="0" applyFont="1" applyBorder="1" applyAlignment="1">
      <alignment horizontal="center" vertical="center" wrapText="1"/>
    </xf>
    <xf numFmtId="0" fontId="11" fillId="0" borderId="28" xfId="0" applyFont="1" applyBorder="1" applyAlignment="1">
      <alignment horizontal="center" vertical="center" wrapText="1"/>
    </xf>
    <xf numFmtId="0" fontId="11" fillId="0" borderId="29" xfId="0" applyFont="1" applyBorder="1" applyAlignment="1">
      <alignment horizontal="center" vertical="center" wrapText="1"/>
    </xf>
    <xf numFmtId="0" fontId="18" fillId="0" borderId="28" xfId="0" applyFont="1" applyBorder="1" applyAlignment="1">
      <alignment horizontal="center" vertical="center" wrapText="1"/>
    </xf>
    <xf numFmtId="0" fontId="18" fillId="0" borderId="29" xfId="0" applyFont="1" applyBorder="1" applyAlignment="1">
      <alignment horizontal="center" vertical="center" wrapText="1"/>
    </xf>
    <xf numFmtId="0" fontId="9" fillId="0" borderId="0" xfId="0" applyFont="1" applyAlignment="1">
      <alignment horizontal="center" vertical="center" wrapText="1"/>
    </xf>
    <xf numFmtId="0" fontId="19" fillId="0" borderId="82" xfId="0" applyFont="1" applyBorder="1" applyAlignment="1">
      <alignment horizontal="center" vertical="center" wrapText="1"/>
    </xf>
    <xf numFmtId="0" fontId="19" fillId="0" borderId="0" xfId="0" applyFont="1" applyAlignment="1">
      <alignment horizontal="center" vertical="center" wrapText="1"/>
    </xf>
    <xf numFmtId="0" fontId="19" fillId="0" borderId="81" xfId="0" applyFont="1" applyBorder="1" applyAlignment="1">
      <alignment horizontal="center" vertical="center" wrapText="1"/>
    </xf>
    <xf numFmtId="0" fontId="12" fillId="0" borderId="82" xfId="0" applyFont="1" applyBorder="1" applyAlignment="1">
      <alignment horizontal="center" vertical="center" wrapText="1"/>
    </xf>
    <xf numFmtId="0" fontId="12" fillId="0" borderId="0" xfId="0" applyFont="1" applyAlignment="1">
      <alignment horizontal="center" vertical="center" wrapText="1"/>
    </xf>
    <xf numFmtId="0" fontId="12" fillId="0" borderId="81" xfId="0" applyFont="1" applyBorder="1" applyAlignment="1">
      <alignment horizontal="center" vertical="center" wrapText="1"/>
    </xf>
    <xf numFmtId="0" fontId="19" fillId="0" borderId="77" xfId="0" applyFont="1" applyBorder="1" applyAlignment="1">
      <alignment horizontal="center" vertical="center" wrapText="1"/>
    </xf>
    <xf numFmtId="0" fontId="19" fillId="0" borderId="78" xfId="0" applyFont="1" applyBorder="1" applyAlignment="1">
      <alignment horizontal="center" vertical="center" wrapText="1"/>
    </xf>
    <xf numFmtId="0" fontId="19" fillId="0" borderId="93" xfId="0" applyFont="1" applyBorder="1" applyAlignment="1">
      <alignment horizontal="center" vertical="center" wrapText="1"/>
    </xf>
    <xf numFmtId="0" fontId="8" fillId="0" borderId="77" xfId="0" applyFont="1" applyBorder="1" applyAlignment="1">
      <alignment horizontal="center" wrapText="1"/>
    </xf>
    <xf numFmtId="0" fontId="8" fillId="0" borderId="78" xfId="0" applyFont="1" applyBorder="1" applyAlignment="1">
      <alignment horizontal="center" wrapText="1"/>
    </xf>
    <xf numFmtId="0" fontId="8" fillId="0" borderId="93" xfId="0" applyFont="1" applyBorder="1" applyAlignment="1">
      <alignment horizontal="center" wrapText="1"/>
    </xf>
    <xf numFmtId="0" fontId="12" fillId="0" borderId="78" xfId="0" applyFont="1" applyBorder="1" applyAlignment="1">
      <alignment horizontal="center" vertical="center" wrapText="1"/>
    </xf>
    <xf numFmtId="0" fontId="12" fillId="0" borderId="93" xfId="0" applyFont="1" applyBorder="1" applyAlignment="1">
      <alignment horizontal="center" vertical="center" wrapText="1"/>
    </xf>
    <xf numFmtId="0" fontId="8" fillId="0" borderId="0" xfId="0" applyFont="1" applyAlignment="1">
      <alignment horizontal="center" vertical="center" wrapText="1"/>
    </xf>
    <xf numFmtId="0" fontId="10" fillId="0" borderId="28" xfId="0" applyFont="1" applyBorder="1" applyAlignment="1">
      <alignment horizontal="center"/>
    </xf>
    <xf numFmtId="0" fontId="10" fillId="0" borderId="29" xfId="0" applyFont="1" applyBorder="1" applyAlignment="1">
      <alignment horizontal="center"/>
    </xf>
    <xf numFmtId="0" fontId="11" fillId="0" borderId="82" xfId="0" applyFont="1" applyBorder="1" applyAlignment="1">
      <alignment horizontal="center" vertical="center" wrapText="1"/>
    </xf>
    <xf numFmtId="0" fontId="11" fillId="0" borderId="0" xfId="0" applyFont="1" applyAlignment="1">
      <alignment horizontal="center" vertical="center" wrapText="1"/>
    </xf>
    <xf numFmtId="0" fontId="11" fillId="0" borderId="81" xfId="0" applyFont="1" applyBorder="1" applyAlignment="1">
      <alignment horizontal="center" vertical="center" wrapText="1"/>
    </xf>
    <xf numFmtId="0" fontId="20" fillId="0" borderId="82" xfId="0" applyFont="1" applyBorder="1" applyAlignment="1">
      <alignment horizontal="center" wrapText="1"/>
    </xf>
    <xf numFmtId="0" fontId="20" fillId="0" borderId="0" xfId="0" applyFont="1" applyAlignment="1">
      <alignment horizontal="center" wrapText="1"/>
    </xf>
    <xf numFmtId="0" fontId="20" fillId="0" borderId="81" xfId="0" applyFont="1" applyBorder="1" applyAlignment="1">
      <alignment horizontal="center" wrapText="1"/>
    </xf>
    <xf numFmtId="0" fontId="2" fillId="0" borderId="8" xfId="0" applyFont="1" applyBorder="1" applyAlignment="1">
      <alignment horizontal="center" vertical="top" wrapText="1"/>
    </xf>
    <xf numFmtId="0" fontId="2" fillId="0" borderId="1" xfId="0" applyFont="1" applyBorder="1" applyAlignment="1">
      <alignment wrapText="1"/>
    </xf>
    <xf numFmtId="0" fontId="2" fillId="2" borderId="2" xfId="0" applyFont="1" applyFill="1" applyBorder="1" applyAlignment="1">
      <alignment horizontal="center" vertical="center" wrapText="1"/>
    </xf>
    <xf numFmtId="0" fontId="2" fillId="0" borderId="3" xfId="0" applyFont="1" applyBorder="1" applyAlignment="1">
      <alignment horizontal="center" vertical="top" wrapText="1"/>
    </xf>
    <xf numFmtId="0" fontId="2" fillId="0" borderId="4" xfId="0" applyFont="1" applyBorder="1" applyAlignment="1">
      <alignment horizontal="center" vertical="center" wrapText="1"/>
    </xf>
    <xf numFmtId="0" fontId="1" fillId="0" borderId="5" xfId="0" applyFont="1" applyBorder="1" applyAlignment="1">
      <alignment horizontal="center" vertical="top" wrapText="1"/>
    </xf>
    <xf numFmtId="14" fontId="1" fillId="0" borderId="6" xfId="0" applyNumberFormat="1" applyFont="1" applyBorder="1" applyAlignment="1">
      <alignment horizontal="center" vertical="top" wrapText="1"/>
    </xf>
    <xf numFmtId="0" fontId="1" fillId="0" borderId="7" xfId="0" applyFont="1" applyBorder="1" applyAlignment="1">
      <alignment horizontal="center" vertical="top" wrapText="1"/>
    </xf>
    <xf numFmtId="0" fontId="2" fillId="2" borderId="1" xfId="0" applyFont="1" applyFill="1" applyBorder="1" applyAlignment="1">
      <alignment horizontal="center" vertical="center" wrapText="1"/>
    </xf>
    <xf numFmtId="0" fontId="1" fillId="0" borderId="9"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18" xfId="0" applyFont="1" applyBorder="1" applyAlignment="1">
      <alignment horizontal="center" vertical="center" wrapText="1"/>
    </xf>
    <xf numFmtId="0" fontId="6" fillId="0" borderId="19" xfId="0" applyFont="1" applyBorder="1" applyAlignment="1">
      <alignment horizontal="center" vertical="center" wrapText="1"/>
    </xf>
    <xf numFmtId="0" fontId="1" fillId="0" borderId="9" xfId="0" applyFont="1" applyBorder="1" applyAlignment="1">
      <alignment horizontal="center" vertical="top" wrapText="1"/>
    </xf>
    <xf numFmtId="0" fontId="2" fillId="0" borderId="12" xfId="0" applyFont="1" applyBorder="1" applyAlignment="1">
      <alignment horizontal="left" wrapText="1"/>
    </xf>
    <xf numFmtId="0" fontId="2" fillId="0" borderId="2" xfId="0" applyFont="1" applyBorder="1" applyAlignment="1">
      <alignment horizontal="center" vertical="top" wrapText="1"/>
    </xf>
    <xf numFmtId="14" fontId="1" fillId="0" borderId="3" xfId="0" applyNumberFormat="1" applyFont="1" applyBorder="1" applyAlignment="1">
      <alignment horizontal="center" vertical="top" wrapText="1"/>
    </xf>
    <xf numFmtId="164" fontId="1" fillId="0" borderId="10" xfId="0" applyNumberFormat="1" applyFont="1" applyBorder="1" applyAlignment="1">
      <alignment horizontal="center" vertical="top" wrapText="1"/>
    </xf>
    <xf numFmtId="14" fontId="1" fillId="0" borderId="10" xfId="0" applyNumberFormat="1" applyFont="1" applyBorder="1" applyAlignment="1">
      <alignment horizontal="center" vertical="top" wrapText="1"/>
    </xf>
    <xf numFmtId="164" fontId="1" fillId="0" borderId="4" xfId="0" applyNumberFormat="1" applyFont="1" applyBorder="1" applyAlignment="1">
      <alignment horizontal="center" vertical="top" wrapText="1"/>
    </xf>
    <xf numFmtId="14" fontId="2" fillId="0" borderId="20" xfId="0" applyNumberFormat="1" applyFont="1" applyBorder="1" applyAlignment="1">
      <alignment horizontal="right" vertical="top" wrapText="1"/>
    </xf>
    <xf numFmtId="14" fontId="2" fillId="0" borderId="11" xfId="0" applyNumberFormat="1" applyFont="1" applyBorder="1" applyAlignment="1">
      <alignment horizontal="right" vertical="top" wrapText="1"/>
    </xf>
    <xf numFmtId="0" fontId="2" fillId="0" borderId="22" xfId="0" applyFont="1" applyBorder="1" applyAlignment="1">
      <alignment horizontal="left" vertical="top" wrapText="1"/>
    </xf>
    <xf numFmtId="14" fontId="2" fillId="0" borderId="22" xfId="0" applyNumberFormat="1" applyFont="1" applyBorder="1" applyAlignment="1">
      <alignment horizontal="center" vertical="top" wrapText="1"/>
    </xf>
    <xf numFmtId="0" fontId="2" fillId="0" borderId="22" xfId="0" applyFont="1" applyBorder="1" applyAlignment="1">
      <alignment horizontal="center" vertical="top" wrapText="1"/>
    </xf>
    <xf numFmtId="0" fontId="2" fillId="0" borderId="21" xfId="0" applyFont="1" applyBorder="1" applyAlignment="1">
      <alignment horizontal="center" vertical="top" wrapText="1"/>
    </xf>
    <xf numFmtId="0" fontId="2" fillId="2" borderId="12" xfId="0" applyFont="1" applyFill="1" applyBorder="1" applyAlignment="1">
      <alignment vertical="top" wrapText="1"/>
    </xf>
    <xf numFmtId="0" fontId="1" fillId="0" borderId="13" xfId="0" applyFont="1" applyBorder="1" applyAlignment="1">
      <alignment horizontal="left" vertical="top" wrapText="1"/>
    </xf>
    <xf numFmtId="0" fontId="2" fillId="0" borderId="13" xfId="0" applyFont="1" applyBorder="1" applyAlignment="1">
      <alignment horizontal="left" vertical="top"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2" fillId="2" borderId="12" xfId="0" applyFont="1" applyFill="1" applyBorder="1" applyAlignment="1">
      <alignment horizontal="center" vertical="center" wrapText="1"/>
    </xf>
    <xf numFmtId="0" fontId="1" fillId="0" borderId="1" xfId="0" applyFont="1" applyBorder="1" applyAlignment="1">
      <alignment horizontal="center" vertical="center" wrapText="1"/>
    </xf>
    <xf numFmtId="0" fontId="4" fillId="0" borderId="1" xfId="0" applyFont="1" applyBorder="1" applyAlignment="1">
      <alignment horizontal="center" vertical="center" wrapText="1"/>
    </xf>
    <xf numFmtId="14" fontId="1" fillId="0" borderId="1" xfId="0" applyNumberFormat="1" applyFont="1" applyBorder="1" applyAlignment="1">
      <alignment horizontal="center" vertical="center" wrapText="1"/>
    </xf>
    <xf numFmtId="14" fontId="1" fillId="0" borderId="16" xfId="0" applyNumberFormat="1" applyFont="1" applyBorder="1" applyAlignment="1">
      <alignment horizontal="center" vertical="center" wrapText="1"/>
    </xf>
    <xf numFmtId="14" fontId="1" fillId="0" borderId="15" xfId="0" applyNumberFormat="1" applyFont="1" applyBorder="1" applyAlignment="1">
      <alignment horizontal="center" vertical="center" wrapText="1"/>
    </xf>
    <xf numFmtId="14" fontId="2" fillId="0" borderId="1" xfId="0" applyNumberFormat="1" applyFont="1" applyBorder="1" applyAlignment="1">
      <alignment horizontal="center" vertical="center" wrapText="1"/>
    </xf>
    <xf numFmtId="164" fontId="2" fillId="0" borderId="1" xfId="0" applyNumberFormat="1" applyFont="1" applyBorder="1" applyAlignment="1">
      <alignment horizontal="center" vertical="center" wrapText="1"/>
    </xf>
    <xf numFmtId="0" fontId="2" fillId="2" borderId="7" xfId="0" applyFont="1" applyFill="1" applyBorder="1" applyAlignment="1">
      <alignment horizontal="center" wrapText="1"/>
    </xf>
    <xf numFmtId="0" fontId="2" fillId="2" borderId="1" xfId="0" applyFont="1" applyFill="1" applyBorder="1" applyAlignment="1">
      <alignment horizontal="center" wrapText="1"/>
    </xf>
    <xf numFmtId="0" fontId="2" fillId="0" borderId="13" xfId="0" applyFont="1" applyBorder="1" applyAlignment="1">
      <alignment horizontal="center" vertical="center" wrapText="1"/>
    </xf>
    <xf numFmtId="0" fontId="1" fillId="0" borderId="7" xfId="0" applyFont="1" applyBorder="1" applyAlignment="1">
      <alignment horizontal="center" vertical="center" wrapText="1"/>
    </xf>
    <xf numFmtId="49" fontId="1" fillId="0" borderId="7" xfId="0" applyNumberFormat="1" applyFont="1" applyBorder="1" applyAlignment="1">
      <alignment horizontal="center" vertical="center" wrapText="1"/>
    </xf>
    <xf numFmtId="0" fontId="5" fillId="0" borderId="1" xfId="0" applyFont="1" applyBorder="1" applyAlignment="1">
      <alignment horizontal="left" vertical="top" wrapText="1"/>
    </xf>
    <xf numFmtId="0" fontId="2" fillId="0" borderId="7" xfId="0" applyFont="1" applyBorder="1" applyAlignment="1">
      <alignment horizontal="center" vertical="center" wrapText="1"/>
    </xf>
    <xf numFmtId="0" fontId="1" fillId="0" borderId="25" xfId="0" applyFont="1" applyBorder="1" applyAlignment="1">
      <alignment horizontal="center" wrapText="1"/>
    </xf>
    <xf numFmtId="0" fontId="1" fillId="0" borderId="26" xfId="0" applyFont="1" applyBorder="1" applyAlignment="1">
      <alignment horizontal="center" wrapText="1"/>
    </xf>
    <xf numFmtId="0" fontId="1" fillId="0" borderId="14" xfId="0" applyFont="1" applyBorder="1" applyAlignment="1">
      <alignment horizontal="center" wrapText="1"/>
    </xf>
    <xf numFmtId="0" fontId="1" fillId="0" borderId="23" xfId="0" applyFont="1" applyBorder="1" applyAlignment="1">
      <alignment horizontal="center" wrapText="1"/>
    </xf>
    <xf numFmtId="0" fontId="1" fillId="0" borderId="0" xfId="0" applyFont="1" applyAlignment="1">
      <alignment horizontal="center" wrapText="1"/>
    </xf>
    <xf numFmtId="0" fontId="1" fillId="0" borderId="24" xfId="0" applyFont="1" applyBorder="1" applyAlignment="1">
      <alignment horizontal="center" wrapText="1"/>
    </xf>
    <xf numFmtId="0" fontId="2" fillId="0" borderId="1" xfId="0" applyFont="1" applyBorder="1" applyAlignment="1">
      <alignment horizontal="center" vertical="top" wrapText="1"/>
    </xf>
    <xf numFmtId="0" fontId="2" fillId="0" borderId="1" xfId="0" applyFont="1" applyBorder="1" applyAlignment="1">
      <alignment horizontal="center" wrapText="1"/>
    </xf>
    <xf numFmtId="0" fontId="1" fillId="0" borderId="1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6</xdr:col>
      <xdr:colOff>154356</xdr:colOff>
      <xdr:row>0</xdr:row>
      <xdr:rowOff>79375</xdr:rowOff>
    </xdr:from>
    <xdr:to>
      <xdr:col>10</xdr:col>
      <xdr:colOff>571501</xdr:colOff>
      <xdr:row>1</xdr:row>
      <xdr:rowOff>244112</xdr:rowOff>
    </xdr:to>
    <xdr:pic>
      <xdr:nvPicPr>
        <xdr:cNvPr id="2" name="4 Imagen">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17183" b="16473"/>
        <a:stretch>
          <a:fillRect/>
        </a:stretch>
      </xdr:blipFill>
      <xdr:spPr bwMode="auto">
        <a:xfrm>
          <a:off x="2249856" y="79375"/>
          <a:ext cx="1671270" cy="6727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266700</xdr:colOff>
      <xdr:row>0</xdr:row>
      <xdr:rowOff>66675</xdr:rowOff>
    </xdr:from>
    <xdr:to>
      <xdr:col>10</xdr:col>
      <xdr:colOff>409575</xdr:colOff>
      <xdr:row>1</xdr:row>
      <xdr:rowOff>504825</xdr:rowOff>
    </xdr:to>
    <xdr:pic>
      <xdr:nvPicPr>
        <xdr:cNvPr id="2" name="2 Imagen" descr="LOGO DAG.jpg">
          <a:extLst>
            <a:ext uri="{FF2B5EF4-FFF2-40B4-BE49-F238E27FC236}">
              <a16:creationId xmlns:a16="http://schemas.microsoft.com/office/drawing/2014/main" id="{D34A1C5E-2906-41C8-AE05-7ACED7C703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17171" b="16484"/>
        <a:stretch>
          <a:fillRect/>
        </a:stretch>
      </xdr:blipFill>
      <xdr:spPr bwMode="auto">
        <a:xfrm>
          <a:off x="2657475" y="66675"/>
          <a:ext cx="1790700"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qcardenas\Desktop\COMISIONES_TICs\Comisiones_2026\FORMULARIO%20VIATICOS%20MACAS.xls" TargetMode="External"/><Relationship Id="rId1" Type="http://schemas.openxmlformats.org/officeDocument/2006/relationships/externalLinkPath" Target="file:///C:\Users\jqcardenas\Desktop\COMISIONES_TICs\Comisiones_2026\FORMULARIO%20VIATICOS%20MACA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OLICITUD"/>
      <sheetName val="INFORME"/>
    </sheetNames>
    <sheetDataSet>
      <sheetData sheetId="0">
        <row r="6">
          <cell r="A6" t="str">
            <v xml:space="preserve"> DGAC-DTIC-2026-0232-M</v>
          </cell>
        </row>
        <row r="43">
          <cell r="J43" t="str">
            <v>Ing. Alexander Guncay</v>
          </cell>
        </row>
      </sheetData>
      <sheetData sheetId="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8"/>
  <sheetViews>
    <sheetView zoomScaleNormal="100" workbookViewId="0">
      <selection activeCell="T18" sqref="T18"/>
    </sheetView>
  </sheetViews>
  <sheetFormatPr baseColWidth="10" defaultColWidth="11" defaultRowHeight="12.75" x14ac:dyDescent="0.2"/>
  <cols>
    <col min="1" max="3" width="6.42578125" style="2" customWidth="1"/>
    <col min="4" max="4" width="4.42578125" style="2" customWidth="1"/>
    <col min="5" max="8" width="3.7109375" style="2" customWidth="1"/>
    <col min="9" max="9" width="6.7109375" style="2" customWidth="1"/>
    <col min="10" max="10" width="5.5703125" style="2" customWidth="1"/>
    <col min="11" max="11" width="11.5703125" style="2" customWidth="1"/>
    <col min="12" max="12" width="9.85546875" style="2" customWidth="1"/>
    <col min="13" max="13" width="4" style="2" customWidth="1"/>
    <col min="14" max="14" width="8.140625" style="2" customWidth="1"/>
    <col min="15" max="15" width="13.5703125" style="2" customWidth="1"/>
    <col min="16" max="16" width="3.42578125" style="2" customWidth="1"/>
    <col min="17" max="17" width="1.140625" style="2" customWidth="1"/>
    <col min="18" max="256" width="11" style="2"/>
    <col min="257" max="259" width="6.42578125" style="2" customWidth="1"/>
    <col min="260" max="260" width="4.42578125" style="2" customWidth="1"/>
    <col min="261" max="264" width="3.7109375" style="2" customWidth="1"/>
    <col min="265" max="265" width="5.7109375" style="2" customWidth="1"/>
    <col min="266" max="266" width="5.5703125" style="2" customWidth="1"/>
    <col min="267" max="267" width="11.5703125" style="2" customWidth="1"/>
    <col min="268" max="268" width="9.85546875" style="2" customWidth="1"/>
    <col min="269" max="269" width="4" style="2" customWidth="1"/>
    <col min="270" max="270" width="8.140625" style="2" customWidth="1"/>
    <col min="271" max="271" width="13.5703125" style="2" customWidth="1"/>
    <col min="272" max="272" width="3.42578125" style="2" customWidth="1"/>
    <col min="273" max="512" width="11" style="2"/>
    <col min="513" max="515" width="6.42578125" style="2" customWidth="1"/>
    <col min="516" max="516" width="4.42578125" style="2" customWidth="1"/>
    <col min="517" max="520" width="3.7109375" style="2" customWidth="1"/>
    <col min="521" max="521" width="5.7109375" style="2" customWidth="1"/>
    <col min="522" max="522" width="5.5703125" style="2" customWidth="1"/>
    <col min="523" max="523" width="11.5703125" style="2" customWidth="1"/>
    <col min="524" max="524" width="9.85546875" style="2" customWidth="1"/>
    <col min="525" max="525" width="4" style="2" customWidth="1"/>
    <col min="526" max="526" width="8.140625" style="2" customWidth="1"/>
    <col min="527" max="527" width="13.5703125" style="2" customWidth="1"/>
    <col min="528" max="528" width="3.42578125" style="2" customWidth="1"/>
    <col min="529" max="768" width="11" style="2"/>
    <col min="769" max="771" width="6.42578125" style="2" customWidth="1"/>
    <col min="772" max="772" width="4.42578125" style="2" customWidth="1"/>
    <col min="773" max="776" width="3.7109375" style="2" customWidth="1"/>
    <col min="777" max="777" width="5.7109375" style="2" customWidth="1"/>
    <col min="778" max="778" width="5.5703125" style="2" customWidth="1"/>
    <col min="779" max="779" width="11.5703125" style="2" customWidth="1"/>
    <col min="780" max="780" width="9.85546875" style="2" customWidth="1"/>
    <col min="781" max="781" width="4" style="2" customWidth="1"/>
    <col min="782" max="782" width="8.140625" style="2" customWidth="1"/>
    <col min="783" max="783" width="13.5703125" style="2" customWidth="1"/>
    <col min="784" max="784" width="3.42578125" style="2" customWidth="1"/>
    <col min="785" max="1024" width="11" style="2"/>
    <col min="1025" max="1027" width="6.42578125" style="2" customWidth="1"/>
    <col min="1028" max="1028" width="4.42578125" style="2" customWidth="1"/>
    <col min="1029" max="1032" width="3.7109375" style="2" customWidth="1"/>
    <col min="1033" max="1033" width="5.7109375" style="2" customWidth="1"/>
    <col min="1034" max="1034" width="5.5703125" style="2" customWidth="1"/>
    <col min="1035" max="1035" width="11.5703125" style="2" customWidth="1"/>
    <col min="1036" max="1036" width="9.85546875" style="2" customWidth="1"/>
    <col min="1037" max="1037" width="4" style="2" customWidth="1"/>
    <col min="1038" max="1038" width="8.140625" style="2" customWidth="1"/>
    <col min="1039" max="1039" width="13.5703125" style="2" customWidth="1"/>
    <col min="1040" max="1040" width="3.42578125" style="2" customWidth="1"/>
    <col min="1041" max="1280" width="11" style="2"/>
    <col min="1281" max="1283" width="6.42578125" style="2" customWidth="1"/>
    <col min="1284" max="1284" width="4.42578125" style="2" customWidth="1"/>
    <col min="1285" max="1288" width="3.7109375" style="2" customWidth="1"/>
    <col min="1289" max="1289" width="5.7109375" style="2" customWidth="1"/>
    <col min="1290" max="1290" width="5.5703125" style="2" customWidth="1"/>
    <col min="1291" max="1291" width="11.5703125" style="2" customWidth="1"/>
    <col min="1292" max="1292" width="9.85546875" style="2" customWidth="1"/>
    <col min="1293" max="1293" width="4" style="2" customWidth="1"/>
    <col min="1294" max="1294" width="8.140625" style="2" customWidth="1"/>
    <col min="1295" max="1295" width="13.5703125" style="2" customWidth="1"/>
    <col min="1296" max="1296" width="3.42578125" style="2" customWidth="1"/>
    <col min="1297" max="1536" width="11" style="2"/>
    <col min="1537" max="1539" width="6.42578125" style="2" customWidth="1"/>
    <col min="1540" max="1540" width="4.42578125" style="2" customWidth="1"/>
    <col min="1541" max="1544" width="3.7109375" style="2" customWidth="1"/>
    <col min="1545" max="1545" width="5.7109375" style="2" customWidth="1"/>
    <col min="1546" max="1546" width="5.5703125" style="2" customWidth="1"/>
    <col min="1547" max="1547" width="11.5703125" style="2" customWidth="1"/>
    <col min="1548" max="1548" width="9.85546875" style="2" customWidth="1"/>
    <col min="1549" max="1549" width="4" style="2" customWidth="1"/>
    <col min="1550" max="1550" width="8.140625" style="2" customWidth="1"/>
    <col min="1551" max="1551" width="13.5703125" style="2" customWidth="1"/>
    <col min="1552" max="1552" width="3.42578125" style="2" customWidth="1"/>
    <col min="1553" max="1792" width="11" style="2"/>
    <col min="1793" max="1795" width="6.42578125" style="2" customWidth="1"/>
    <col min="1796" max="1796" width="4.42578125" style="2" customWidth="1"/>
    <col min="1797" max="1800" width="3.7109375" style="2" customWidth="1"/>
    <col min="1801" max="1801" width="5.7109375" style="2" customWidth="1"/>
    <col min="1802" max="1802" width="5.5703125" style="2" customWidth="1"/>
    <col min="1803" max="1803" width="11.5703125" style="2" customWidth="1"/>
    <col min="1804" max="1804" width="9.85546875" style="2" customWidth="1"/>
    <col min="1805" max="1805" width="4" style="2" customWidth="1"/>
    <col min="1806" max="1806" width="8.140625" style="2" customWidth="1"/>
    <col min="1807" max="1807" width="13.5703125" style="2" customWidth="1"/>
    <col min="1808" max="1808" width="3.42578125" style="2" customWidth="1"/>
    <col min="1809" max="2048" width="11" style="2"/>
    <col min="2049" max="2051" width="6.42578125" style="2" customWidth="1"/>
    <col min="2052" max="2052" width="4.42578125" style="2" customWidth="1"/>
    <col min="2053" max="2056" width="3.7109375" style="2" customWidth="1"/>
    <col min="2057" max="2057" width="5.7109375" style="2" customWidth="1"/>
    <col min="2058" max="2058" width="5.5703125" style="2" customWidth="1"/>
    <col min="2059" max="2059" width="11.5703125" style="2" customWidth="1"/>
    <col min="2060" max="2060" width="9.85546875" style="2" customWidth="1"/>
    <col min="2061" max="2061" width="4" style="2" customWidth="1"/>
    <col min="2062" max="2062" width="8.140625" style="2" customWidth="1"/>
    <col min="2063" max="2063" width="13.5703125" style="2" customWidth="1"/>
    <col min="2064" max="2064" width="3.42578125" style="2" customWidth="1"/>
    <col min="2065" max="2304" width="11" style="2"/>
    <col min="2305" max="2307" width="6.42578125" style="2" customWidth="1"/>
    <col min="2308" max="2308" width="4.42578125" style="2" customWidth="1"/>
    <col min="2309" max="2312" width="3.7109375" style="2" customWidth="1"/>
    <col min="2313" max="2313" width="5.7109375" style="2" customWidth="1"/>
    <col min="2314" max="2314" width="5.5703125" style="2" customWidth="1"/>
    <col min="2315" max="2315" width="11.5703125" style="2" customWidth="1"/>
    <col min="2316" max="2316" width="9.85546875" style="2" customWidth="1"/>
    <col min="2317" max="2317" width="4" style="2" customWidth="1"/>
    <col min="2318" max="2318" width="8.140625" style="2" customWidth="1"/>
    <col min="2319" max="2319" width="13.5703125" style="2" customWidth="1"/>
    <col min="2320" max="2320" width="3.42578125" style="2" customWidth="1"/>
    <col min="2321" max="2560" width="11" style="2"/>
    <col min="2561" max="2563" width="6.42578125" style="2" customWidth="1"/>
    <col min="2564" max="2564" width="4.42578125" style="2" customWidth="1"/>
    <col min="2565" max="2568" width="3.7109375" style="2" customWidth="1"/>
    <col min="2569" max="2569" width="5.7109375" style="2" customWidth="1"/>
    <col min="2570" max="2570" width="5.5703125" style="2" customWidth="1"/>
    <col min="2571" max="2571" width="11.5703125" style="2" customWidth="1"/>
    <col min="2572" max="2572" width="9.85546875" style="2" customWidth="1"/>
    <col min="2573" max="2573" width="4" style="2" customWidth="1"/>
    <col min="2574" max="2574" width="8.140625" style="2" customWidth="1"/>
    <col min="2575" max="2575" width="13.5703125" style="2" customWidth="1"/>
    <col min="2576" max="2576" width="3.42578125" style="2" customWidth="1"/>
    <col min="2577" max="2816" width="11" style="2"/>
    <col min="2817" max="2819" width="6.42578125" style="2" customWidth="1"/>
    <col min="2820" max="2820" width="4.42578125" style="2" customWidth="1"/>
    <col min="2821" max="2824" width="3.7109375" style="2" customWidth="1"/>
    <col min="2825" max="2825" width="5.7109375" style="2" customWidth="1"/>
    <col min="2826" max="2826" width="5.5703125" style="2" customWidth="1"/>
    <col min="2827" max="2827" width="11.5703125" style="2" customWidth="1"/>
    <col min="2828" max="2828" width="9.85546875" style="2" customWidth="1"/>
    <col min="2829" max="2829" width="4" style="2" customWidth="1"/>
    <col min="2830" max="2830" width="8.140625" style="2" customWidth="1"/>
    <col min="2831" max="2831" width="13.5703125" style="2" customWidth="1"/>
    <col min="2832" max="2832" width="3.42578125" style="2" customWidth="1"/>
    <col min="2833" max="3072" width="11" style="2"/>
    <col min="3073" max="3075" width="6.42578125" style="2" customWidth="1"/>
    <col min="3076" max="3076" width="4.42578125" style="2" customWidth="1"/>
    <col min="3077" max="3080" width="3.7109375" style="2" customWidth="1"/>
    <col min="3081" max="3081" width="5.7109375" style="2" customWidth="1"/>
    <col min="3082" max="3082" width="5.5703125" style="2" customWidth="1"/>
    <col min="3083" max="3083" width="11.5703125" style="2" customWidth="1"/>
    <col min="3084" max="3084" width="9.85546875" style="2" customWidth="1"/>
    <col min="3085" max="3085" width="4" style="2" customWidth="1"/>
    <col min="3086" max="3086" width="8.140625" style="2" customWidth="1"/>
    <col min="3087" max="3087" width="13.5703125" style="2" customWidth="1"/>
    <col min="3088" max="3088" width="3.42578125" style="2" customWidth="1"/>
    <col min="3089" max="3328" width="11" style="2"/>
    <col min="3329" max="3331" width="6.42578125" style="2" customWidth="1"/>
    <col min="3332" max="3332" width="4.42578125" style="2" customWidth="1"/>
    <col min="3333" max="3336" width="3.7109375" style="2" customWidth="1"/>
    <col min="3337" max="3337" width="5.7109375" style="2" customWidth="1"/>
    <col min="3338" max="3338" width="5.5703125" style="2" customWidth="1"/>
    <col min="3339" max="3339" width="11.5703125" style="2" customWidth="1"/>
    <col min="3340" max="3340" width="9.85546875" style="2" customWidth="1"/>
    <col min="3341" max="3341" width="4" style="2" customWidth="1"/>
    <col min="3342" max="3342" width="8.140625" style="2" customWidth="1"/>
    <col min="3343" max="3343" width="13.5703125" style="2" customWidth="1"/>
    <col min="3344" max="3344" width="3.42578125" style="2" customWidth="1"/>
    <col min="3345" max="3584" width="11" style="2"/>
    <col min="3585" max="3587" width="6.42578125" style="2" customWidth="1"/>
    <col min="3588" max="3588" width="4.42578125" style="2" customWidth="1"/>
    <col min="3589" max="3592" width="3.7109375" style="2" customWidth="1"/>
    <col min="3593" max="3593" width="5.7109375" style="2" customWidth="1"/>
    <col min="3594" max="3594" width="5.5703125" style="2" customWidth="1"/>
    <col min="3595" max="3595" width="11.5703125" style="2" customWidth="1"/>
    <col min="3596" max="3596" width="9.85546875" style="2" customWidth="1"/>
    <col min="3597" max="3597" width="4" style="2" customWidth="1"/>
    <col min="3598" max="3598" width="8.140625" style="2" customWidth="1"/>
    <col min="3599" max="3599" width="13.5703125" style="2" customWidth="1"/>
    <col min="3600" max="3600" width="3.42578125" style="2" customWidth="1"/>
    <col min="3601" max="3840" width="11" style="2"/>
    <col min="3841" max="3843" width="6.42578125" style="2" customWidth="1"/>
    <col min="3844" max="3844" width="4.42578125" style="2" customWidth="1"/>
    <col min="3845" max="3848" width="3.7109375" style="2" customWidth="1"/>
    <col min="3849" max="3849" width="5.7109375" style="2" customWidth="1"/>
    <col min="3850" max="3850" width="5.5703125" style="2" customWidth="1"/>
    <col min="3851" max="3851" width="11.5703125" style="2" customWidth="1"/>
    <col min="3852" max="3852" width="9.85546875" style="2" customWidth="1"/>
    <col min="3853" max="3853" width="4" style="2" customWidth="1"/>
    <col min="3854" max="3854" width="8.140625" style="2" customWidth="1"/>
    <col min="3855" max="3855" width="13.5703125" style="2" customWidth="1"/>
    <col min="3856" max="3856" width="3.42578125" style="2" customWidth="1"/>
    <col min="3857" max="4096" width="11" style="2"/>
    <col min="4097" max="4099" width="6.42578125" style="2" customWidth="1"/>
    <col min="4100" max="4100" width="4.42578125" style="2" customWidth="1"/>
    <col min="4101" max="4104" width="3.7109375" style="2" customWidth="1"/>
    <col min="4105" max="4105" width="5.7109375" style="2" customWidth="1"/>
    <col min="4106" max="4106" width="5.5703125" style="2" customWidth="1"/>
    <col min="4107" max="4107" width="11.5703125" style="2" customWidth="1"/>
    <col min="4108" max="4108" width="9.85546875" style="2" customWidth="1"/>
    <col min="4109" max="4109" width="4" style="2" customWidth="1"/>
    <col min="4110" max="4110" width="8.140625" style="2" customWidth="1"/>
    <col min="4111" max="4111" width="13.5703125" style="2" customWidth="1"/>
    <col min="4112" max="4112" width="3.42578125" style="2" customWidth="1"/>
    <col min="4113" max="4352" width="11" style="2"/>
    <col min="4353" max="4355" width="6.42578125" style="2" customWidth="1"/>
    <col min="4356" max="4356" width="4.42578125" style="2" customWidth="1"/>
    <col min="4357" max="4360" width="3.7109375" style="2" customWidth="1"/>
    <col min="4361" max="4361" width="5.7109375" style="2" customWidth="1"/>
    <col min="4362" max="4362" width="5.5703125" style="2" customWidth="1"/>
    <col min="4363" max="4363" width="11.5703125" style="2" customWidth="1"/>
    <col min="4364" max="4364" width="9.85546875" style="2" customWidth="1"/>
    <col min="4365" max="4365" width="4" style="2" customWidth="1"/>
    <col min="4366" max="4366" width="8.140625" style="2" customWidth="1"/>
    <col min="4367" max="4367" width="13.5703125" style="2" customWidth="1"/>
    <col min="4368" max="4368" width="3.42578125" style="2" customWidth="1"/>
    <col min="4369" max="4608" width="11" style="2"/>
    <col min="4609" max="4611" width="6.42578125" style="2" customWidth="1"/>
    <col min="4612" max="4612" width="4.42578125" style="2" customWidth="1"/>
    <col min="4613" max="4616" width="3.7109375" style="2" customWidth="1"/>
    <col min="4617" max="4617" width="5.7109375" style="2" customWidth="1"/>
    <col min="4618" max="4618" width="5.5703125" style="2" customWidth="1"/>
    <col min="4619" max="4619" width="11.5703125" style="2" customWidth="1"/>
    <col min="4620" max="4620" width="9.85546875" style="2" customWidth="1"/>
    <col min="4621" max="4621" width="4" style="2" customWidth="1"/>
    <col min="4622" max="4622" width="8.140625" style="2" customWidth="1"/>
    <col min="4623" max="4623" width="13.5703125" style="2" customWidth="1"/>
    <col min="4624" max="4624" width="3.42578125" style="2" customWidth="1"/>
    <col min="4625" max="4864" width="11" style="2"/>
    <col min="4865" max="4867" width="6.42578125" style="2" customWidth="1"/>
    <col min="4868" max="4868" width="4.42578125" style="2" customWidth="1"/>
    <col min="4869" max="4872" width="3.7109375" style="2" customWidth="1"/>
    <col min="4873" max="4873" width="5.7109375" style="2" customWidth="1"/>
    <col min="4874" max="4874" width="5.5703125" style="2" customWidth="1"/>
    <col min="4875" max="4875" width="11.5703125" style="2" customWidth="1"/>
    <col min="4876" max="4876" width="9.85546875" style="2" customWidth="1"/>
    <col min="4877" max="4877" width="4" style="2" customWidth="1"/>
    <col min="4878" max="4878" width="8.140625" style="2" customWidth="1"/>
    <col min="4879" max="4879" width="13.5703125" style="2" customWidth="1"/>
    <col min="4880" max="4880" width="3.42578125" style="2" customWidth="1"/>
    <col min="4881" max="5120" width="11" style="2"/>
    <col min="5121" max="5123" width="6.42578125" style="2" customWidth="1"/>
    <col min="5124" max="5124" width="4.42578125" style="2" customWidth="1"/>
    <col min="5125" max="5128" width="3.7109375" style="2" customWidth="1"/>
    <col min="5129" max="5129" width="5.7109375" style="2" customWidth="1"/>
    <col min="5130" max="5130" width="5.5703125" style="2" customWidth="1"/>
    <col min="5131" max="5131" width="11.5703125" style="2" customWidth="1"/>
    <col min="5132" max="5132" width="9.85546875" style="2" customWidth="1"/>
    <col min="5133" max="5133" width="4" style="2" customWidth="1"/>
    <col min="5134" max="5134" width="8.140625" style="2" customWidth="1"/>
    <col min="5135" max="5135" width="13.5703125" style="2" customWidth="1"/>
    <col min="5136" max="5136" width="3.42578125" style="2" customWidth="1"/>
    <col min="5137" max="5376" width="11" style="2"/>
    <col min="5377" max="5379" width="6.42578125" style="2" customWidth="1"/>
    <col min="5380" max="5380" width="4.42578125" style="2" customWidth="1"/>
    <col min="5381" max="5384" width="3.7109375" style="2" customWidth="1"/>
    <col min="5385" max="5385" width="5.7109375" style="2" customWidth="1"/>
    <col min="5386" max="5386" width="5.5703125" style="2" customWidth="1"/>
    <col min="5387" max="5387" width="11.5703125" style="2" customWidth="1"/>
    <col min="5388" max="5388" width="9.85546875" style="2" customWidth="1"/>
    <col min="5389" max="5389" width="4" style="2" customWidth="1"/>
    <col min="5390" max="5390" width="8.140625" style="2" customWidth="1"/>
    <col min="5391" max="5391" width="13.5703125" style="2" customWidth="1"/>
    <col min="5392" max="5392" width="3.42578125" style="2" customWidth="1"/>
    <col min="5393" max="5632" width="11" style="2"/>
    <col min="5633" max="5635" width="6.42578125" style="2" customWidth="1"/>
    <col min="5636" max="5636" width="4.42578125" style="2" customWidth="1"/>
    <col min="5637" max="5640" width="3.7109375" style="2" customWidth="1"/>
    <col min="5641" max="5641" width="5.7109375" style="2" customWidth="1"/>
    <col min="5642" max="5642" width="5.5703125" style="2" customWidth="1"/>
    <col min="5643" max="5643" width="11.5703125" style="2" customWidth="1"/>
    <col min="5644" max="5644" width="9.85546875" style="2" customWidth="1"/>
    <col min="5645" max="5645" width="4" style="2" customWidth="1"/>
    <col min="5646" max="5646" width="8.140625" style="2" customWidth="1"/>
    <col min="5647" max="5647" width="13.5703125" style="2" customWidth="1"/>
    <col min="5648" max="5648" width="3.42578125" style="2" customWidth="1"/>
    <col min="5649" max="5888" width="11" style="2"/>
    <col min="5889" max="5891" width="6.42578125" style="2" customWidth="1"/>
    <col min="5892" max="5892" width="4.42578125" style="2" customWidth="1"/>
    <col min="5893" max="5896" width="3.7109375" style="2" customWidth="1"/>
    <col min="5897" max="5897" width="5.7109375" style="2" customWidth="1"/>
    <col min="5898" max="5898" width="5.5703125" style="2" customWidth="1"/>
    <col min="5899" max="5899" width="11.5703125" style="2" customWidth="1"/>
    <col min="5900" max="5900" width="9.85546875" style="2" customWidth="1"/>
    <col min="5901" max="5901" width="4" style="2" customWidth="1"/>
    <col min="5902" max="5902" width="8.140625" style="2" customWidth="1"/>
    <col min="5903" max="5903" width="13.5703125" style="2" customWidth="1"/>
    <col min="5904" max="5904" width="3.42578125" style="2" customWidth="1"/>
    <col min="5905" max="6144" width="11" style="2"/>
    <col min="6145" max="6147" width="6.42578125" style="2" customWidth="1"/>
    <col min="6148" max="6148" width="4.42578125" style="2" customWidth="1"/>
    <col min="6149" max="6152" width="3.7109375" style="2" customWidth="1"/>
    <col min="6153" max="6153" width="5.7109375" style="2" customWidth="1"/>
    <col min="6154" max="6154" width="5.5703125" style="2" customWidth="1"/>
    <col min="6155" max="6155" width="11.5703125" style="2" customWidth="1"/>
    <col min="6156" max="6156" width="9.85546875" style="2" customWidth="1"/>
    <col min="6157" max="6157" width="4" style="2" customWidth="1"/>
    <col min="6158" max="6158" width="8.140625" style="2" customWidth="1"/>
    <col min="6159" max="6159" width="13.5703125" style="2" customWidth="1"/>
    <col min="6160" max="6160" width="3.42578125" style="2" customWidth="1"/>
    <col min="6161" max="6400" width="11" style="2"/>
    <col min="6401" max="6403" width="6.42578125" style="2" customWidth="1"/>
    <col min="6404" max="6404" width="4.42578125" style="2" customWidth="1"/>
    <col min="6405" max="6408" width="3.7109375" style="2" customWidth="1"/>
    <col min="6409" max="6409" width="5.7109375" style="2" customWidth="1"/>
    <col min="6410" max="6410" width="5.5703125" style="2" customWidth="1"/>
    <col min="6411" max="6411" width="11.5703125" style="2" customWidth="1"/>
    <col min="6412" max="6412" width="9.85546875" style="2" customWidth="1"/>
    <col min="6413" max="6413" width="4" style="2" customWidth="1"/>
    <col min="6414" max="6414" width="8.140625" style="2" customWidth="1"/>
    <col min="6415" max="6415" width="13.5703125" style="2" customWidth="1"/>
    <col min="6416" max="6416" width="3.42578125" style="2" customWidth="1"/>
    <col min="6417" max="6656" width="11" style="2"/>
    <col min="6657" max="6659" width="6.42578125" style="2" customWidth="1"/>
    <col min="6660" max="6660" width="4.42578125" style="2" customWidth="1"/>
    <col min="6661" max="6664" width="3.7109375" style="2" customWidth="1"/>
    <col min="6665" max="6665" width="5.7109375" style="2" customWidth="1"/>
    <col min="6666" max="6666" width="5.5703125" style="2" customWidth="1"/>
    <col min="6667" max="6667" width="11.5703125" style="2" customWidth="1"/>
    <col min="6668" max="6668" width="9.85546875" style="2" customWidth="1"/>
    <col min="6669" max="6669" width="4" style="2" customWidth="1"/>
    <col min="6670" max="6670" width="8.140625" style="2" customWidth="1"/>
    <col min="6671" max="6671" width="13.5703125" style="2" customWidth="1"/>
    <col min="6672" max="6672" width="3.42578125" style="2" customWidth="1"/>
    <col min="6673" max="6912" width="11" style="2"/>
    <col min="6913" max="6915" width="6.42578125" style="2" customWidth="1"/>
    <col min="6916" max="6916" width="4.42578125" style="2" customWidth="1"/>
    <col min="6917" max="6920" width="3.7109375" style="2" customWidth="1"/>
    <col min="6921" max="6921" width="5.7109375" style="2" customWidth="1"/>
    <col min="6922" max="6922" width="5.5703125" style="2" customWidth="1"/>
    <col min="6923" max="6923" width="11.5703125" style="2" customWidth="1"/>
    <col min="6924" max="6924" width="9.85546875" style="2" customWidth="1"/>
    <col min="6925" max="6925" width="4" style="2" customWidth="1"/>
    <col min="6926" max="6926" width="8.140625" style="2" customWidth="1"/>
    <col min="6927" max="6927" width="13.5703125" style="2" customWidth="1"/>
    <col min="6928" max="6928" width="3.42578125" style="2" customWidth="1"/>
    <col min="6929" max="7168" width="11" style="2"/>
    <col min="7169" max="7171" width="6.42578125" style="2" customWidth="1"/>
    <col min="7172" max="7172" width="4.42578125" style="2" customWidth="1"/>
    <col min="7173" max="7176" width="3.7109375" style="2" customWidth="1"/>
    <col min="7177" max="7177" width="5.7109375" style="2" customWidth="1"/>
    <col min="7178" max="7178" width="5.5703125" style="2" customWidth="1"/>
    <col min="7179" max="7179" width="11.5703125" style="2" customWidth="1"/>
    <col min="7180" max="7180" width="9.85546875" style="2" customWidth="1"/>
    <col min="7181" max="7181" width="4" style="2" customWidth="1"/>
    <col min="7182" max="7182" width="8.140625" style="2" customWidth="1"/>
    <col min="7183" max="7183" width="13.5703125" style="2" customWidth="1"/>
    <col min="7184" max="7184" width="3.42578125" style="2" customWidth="1"/>
    <col min="7185" max="7424" width="11" style="2"/>
    <col min="7425" max="7427" width="6.42578125" style="2" customWidth="1"/>
    <col min="7428" max="7428" width="4.42578125" style="2" customWidth="1"/>
    <col min="7429" max="7432" width="3.7109375" style="2" customWidth="1"/>
    <col min="7433" max="7433" width="5.7109375" style="2" customWidth="1"/>
    <col min="7434" max="7434" width="5.5703125" style="2" customWidth="1"/>
    <col min="7435" max="7435" width="11.5703125" style="2" customWidth="1"/>
    <col min="7436" max="7436" width="9.85546875" style="2" customWidth="1"/>
    <col min="7437" max="7437" width="4" style="2" customWidth="1"/>
    <col min="7438" max="7438" width="8.140625" style="2" customWidth="1"/>
    <col min="7439" max="7439" width="13.5703125" style="2" customWidth="1"/>
    <col min="7440" max="7440" width="3.42578125" style="2" customWidth="1"/>
    <col min="7441" max="7680" width="11" style="2"/>
    <col min="7681" max="7683" width="6.42578125" style="2" customWidth="1"/>
    <col min="7684" max="7684" width="4.42578125" style="2" customWidth="1"/>
    <col min="7685" max="7688" width="3.7109375" style="2" customWidth="1"/>
    <col min="7689" max="7689" width="5.7109375" style="2" customWidth="1"/>
    <col min="7690" max="7690" width="5.5703125" style="2" customWidth="1"/>
    <col min="7691" max="7691" width="11.5703125" style="2" customWidth="1"/>
    <col min="7692" max="7692" width="9.85546875" style="2" customWidth="1"/>
    <col min="7693" max="7693" width="4" style="2" customWidth="1"/>
    <col min="7694" max="7694" width="8.140625" style="2" customWidth="1"/>
    <col min="7695" max="7695" width="13.5703125" style="2" customWidth="1"/>
    <col min="7696" max="7696" width="3.42578125" style="2" customWidth="1"/>
    <col min="7697" max="7936" width="11" style="2"/>
    <col min="7937" max="7939" width="6.42578125" style="2" customWidth="1"/>
    <col min="7940" max="7940" width="4.42578125" style="2" customWidth="1"/>
    <col min="7941" max="7944" width="3.7109375" style="2" customWidth="1"/>
    <col min="7945" max="7945" width="5.7109375" style="2" customWidth="1"/>
    <col min="7946" max="7946" width="5.5703125" style="2" customWidth="1"/>
    <col min="7947" max="7947" width="11.5703125" style="2" customWidth="1"/>
    <col min="7948" max="7948" width="9.85546875" style="2" customWidth="1"/>
    <col min="7949" max="7949" width="4" style="2" customWidth="1"/>
    <col min="7950" max="7950" width="8.140625" style="2" customWidth="1"/>
    <col min="7951" max="7951" width="13.5703125" style="2" customWidth="1"/>
    <col min="7952" max="7952" width="3.42578125" style="2" customWidth="1"/>
    <col min="7953" max="8192" width="11" style="2"/>
    <col min="8193" max="8195" width="6.42578125" style="2" customWidth="1"/>
    <col min="8196" max="8196" width="4.42578125" style="2" customWidth="1"/>
    <col min="8197" max="8200" width="3.7109375" style="2" customWidth="1"/>
    <col min="8201" max="8201" width="5.7109375" style="2" customWidth="1"/>
    <col min="8202" max="8202" width="5.5703125" style="2" customWidth="1"/>
    <col min="8203" max="8203" width="11.5703125" style="2" customWidth="1"/>
    <col min="8204" max="8204" width="9.85546875" style="2" customWidth="1"/>
    <col min="8205" max="8205" width="4" style="2" customWidth="1"/>
    <col min="8206" max="8206" width="8.140625" style="2" customWidth="1"/>
    <col min="8207" max="8207" width="13.5703125" style="2" customWidth="1"/>
    <col min="8208" max="8208" width="3.42578125" style="2" customWidth="1"/>
    <col min="8209" max="8448" width="11" style="2"/>
    <col min="8449" max="8451" width="6.42578125" style="2" customWidth="1"/>
    <col min="8452" max="8452" width="4.42578125" style="2" customWidth="1"/>
    <col min="8453" max="8456" width="3.7109375" style="2" customWidth="1"/>
    <col min="8457" max="8457" width="5.7109375" style="2" customWidth="1"/>
    <col min="8458" max="8458" width="5.5703125" style="2" customWidth="1"/>
    <col min="8459" max="8459" width="11.5703125" style="2" customWidth="1"/>
    <col min="8460" max="8460" width="9.85546875" style="2" customWidth="1"/>
    <col min="8461" max="8461" width="4" style="2" customWidth="1"/>
    <col min="8462" max="8462" width="8.140625" style="2" customWidth="1"/>
    <col min="8463" max="8463" width="13.5703125" style="2" customWidth="1"/>
    <col min="8464" max="8464" width="3.42578125" style="2" customWidth="1"/>
    <col min="8465" max="8704" width="11" style="2"/>
    <col min="8705" max="8707" width="6.42578125" style="2" customWidth="1"/>
    <col min="8708" max="8708" width="4.42578125" style="2" customWidth="1"/>
    <col min="8709" max="8712" width="3.7109375" style="2" customWidth="1"/>
    <col min="8713" max="8713" width="5.7109375" style="2" customWidth="1"/>
    <col min="8714" max="8714" width="5.5703125" style="2" customWidth="1"/>
    <col min="8715" max="8715" width="11.5703125" style="2" customWidth="1"/>
    <col min="8716" max="8716" width="9.85546875" style="2" customWidth="1"/>
    <col min="8717" max="8717" width="4" style="2" customWidth="1"/>
    <col min="8718" max="8718" width="8.140625" style="2" customWidth="1"/>
    <col min="8719" max="8719" width="13.5703125" style="2" customWidth="1"/>
    <col min="8720" max="8720" width="3.42578125" style="2" customWidth="1"/>
    <col min="8721" max="8960" width="11" style="2"/>
    <col min="8961" max="8963" width="6.42578125" style="2" customWidth="1"/>
    <col min="8964" max="8964" width="4.42578125" style="2" customWidth="1"/>
    <col min="8965" max="8968" width="3.7109375" style="2" customWidth="1"/>
    <col min="8969" max="8969" width="5.7109375" style="2" customWidth="1"/>
    <col min="8970" max="8970" width="5.5703125" style="2" customWidth="1"/>
    <col min="8971" max="8971" width="11.5703125" style="2" customWidth="1"/>
    <col min="8972" max="8972" width="9.85546875" style="2" customWidth="1"/>
    <col min="8973" max="8973" width="4" style="2" customWidth="1"/>
    <col min="8974" max="8974" width="8.140625" style="2" customWidth="1"/>
    <col min="8975" max="8975" width="13.5703125" style="2" customWidth="1"/>
    <col min="8976" max="8976" width="3.42578125" style="2" customWidth="1"/>
    <col min="8977" max="9216" width="11" style="2"/>
    <col min="9217" max="9219" width="6.42578125" style="2" customWidth="1"/>
    <col min="9220" max="9220" width="4.42578125" style="2" customWidth="1"/>
    <col min="9221" max="9224" width="3.7109375" style="2" customWidth="1"/>
    <col min="9225" max="9225" width="5.7109375" style="2" customWidth="1"/>
    <col min="9226" max="9226" width="5.5703125" style="2" customWidth="1"/>
    <col min="9227" max="9227" width="11.5703125" style="2" customWidth="1"/>
    <col min="9228" max="9228" width="9.85546875" style="2" customWidth="1"/>
    <col min="9229" max="9229" width="4" style="2" customWidth="1"/>
    <col min="9230" max="9230" width="8.140625" style="2" customWidth="1"/>
    <col min="9231" max="9231" width="13.5703125" style="2" customWidth="1"/>
    <col min="9232" max="9232" width="3.42578125" style="2" customWidth="1"/>
    <col min="9233" max="9472" width="11" style="2"/>
    <col min="9473" max="9475" width="6.42578125" style="2" customWidth="1"/>
    <col min="9476" max="9476" width="4.42578125" style="2" customWidth="1"/>
    <col min="9477" max="9480" width="3.7109375" style="2" customWidth="1"/>
    <col min="9481" max="9481" width="5.7109375" style="2" customWidth="1"/>
    <col min="9482" max="9482" width="5.5703125" style="2" customWidth="1"/>
    <col min="9483" max="9483" width="11.5703125" style="2" customWidth="1"/>
    <col min="9484" max="9484" width="9.85546875" style="2" customWidth="1"/>
    <col min="9485" max="9485" width="4" style="2" customWidth="1"/>
    <col min="9486" max="9486" width="8.140625" style="2" customWidth="1"/>
    <col min="9487" max="9487" width="13.5703125" style="2" customWidth="1"/>
    <col min="9488" max="9488" width="3.42578125" style="2" customWidth="1"/>
    <col min="9489" max="9728" width="11" style="2"/>
    <col min="9729" max="9731" width="6.42578125" style="2" customWidth="1"/>
    <col min="9732" max="9732" width="4.42578125" style="2" customWidth="1"/>
    <col min="9733" max="9736" width="3.7109375" style="2" customWidth="1"/>
    <col min="9737" max="9737" width="5.7109375" style="2" customWidth="1"/>
    <col min="9738" max="9738" width="5.5703125" style="2" customWidth="1"/>
    <col min="9739" max="9739" width="11.5703125" style="2" customWidth="1"/>
    <col min="9740" max="9740" width="9.85546875" style="2" customWidth="1"/>
    <col min="9741" max="9741" width="4" style="2" customWidth="1"/>
    <col min="9742" max="9742" width="8.140625" style="2" customWidth="1"/>
    <col min="9743" max="9743" width="13.5703125" style="2" customWidth="1"/>
    <col min="9744" max="9744" width="3.42578125" style="2" customWidth="1"/>
    <col min="9745" max="9984" width="11" style="2"/>
    <col min="9985" max="9987" width="6.42578125" style="2" customWidth="1"/>
    <col min="9988" max="9988" width="4.42578125" style="2" customWidth="1"/>
    <col min="9989" max="9992" width="3.7109375" style="2" customWidth="1"/>
    <col min="9993" max="9993" width="5.7109375" style="2" customWidth="1"/>
    <col min="9994" max="9994" width="5.5703125" style="2" customWidth="1"/>
    <col min="9995" max="9995" width="11.5703125" style="2" customWidth="1"/>
    <col min="9996" max="9996" width="9.85546875" style="2" customWidth="1"/>
    <col min="9997" max="9997" width="4" style="2" customWidth="1"/>
    <col min="9998" max="9998" width="8.140625" style="2" customWidth="1"/>
    <col min="9999" max="9999" width="13.5703125" style="2" customWidth="1"/>
    <col min="10000" max="10000" width="3.42578125" style="2" customWidth="1"/>
    <col min="10001" max="10240" width="11" style="2"/>
    <col min="10241" max="10243" width="6.42578125" style="2" customWidth="1"/>
    <col min="10244" max="10244" width="4.42578125" style="2" customWidth="1"/>
    <col min="10245" max="10248" width="3.7109375" style="2" customWidth="1"/>
    <col min="10249" max="10249" width="5.7109375" style="2" customWidth="1"/>
    <col min="10250" max="10250" width="5.5703125" style="2" customWidth="1"/>
    <col min="10251" max="10251" width="11.5703125" style="2" customWidth="1"/>
    <col min="10252" max="10252" width="9.85546875" style="2" customWidth="1"/>
    <col min="10253" max="10253" width="4" style="2" customWidth="1"/>
    <col min="10254" max="10254" width="8.140625" style="2" customWidth="1"/>
    <col min="10255" max="10255" width="13.5703125" style="2" customWidth="1"/>
    <col min="10256" max="10256" width="3.42578125" style="2" customWidth="1"/>
    <col min="10257" max="10496" width="11" style="2"/>
    <col min="10497" max="10499" width="6.42578125" style="2" customWidth="1"/>
    <col min="10500" max="10500" width="4.42578125" style="2" customWidth="1"/>
    <col min="10501" max="10504" width="3.7109375" style="2" customWidth="1"/>
    <col min="10505" max="10505" width="5.7109375" style="2" customWidth="1"/>
    <col min="10506" max="10506" width="5.5703125" style="2" customWidth="1"/>
    <col min="10507" max="10507" width="11.5703125" style="2" customWidth="1"/>
    <col min="10508" max="10508" width="9.85546875" style="2" customWidth="1"/>
    <col min="10509" max="10509" width="4" style="2" customWidth="1"/>
    <col min="10510" max="10510" width="8.140625" style="2" customWidth="1"/>
    <col min="10511" max="10511" width="13.5703125" style="2" customWidth="1"/>
    <col min="10512" max="10512" width="3.42578125" style="2" customWidth="1"/>
    <col min="10513" max="10752" width="11" style="2"/>
    <col min="10753" max="10755" width="6.42578125" style="2" customWidth="1"/>
    <col min="10756" max="10756" width="4.42578125" style="2" customWidth="1"/>
    <col min="10757" max="10760" width="3.7109375" style="2" customWidth="1"/>
    <col min="10761" max="10761" width="5.7109375" style="2" customWidth="1"/>
    <col min="10762" max="10762" width="5.5703125" style="2" customWidth="1"/>
    <col min="10763" max="10763" width="11.5703125" style="2" customWidth="1"/>
    <col min="10764" max="10764" width="9.85546875" style="2" customWidth="1"/>
    <col min="10765" max="10765" width="4" style="2" customWidth="1"/>
    <col min="10766" max="10766" width="8.140625" style="2" customWidth="1"/>
    <col min="10767" max="10767" width="13.5703125" style="2" customWidth="1"/>
    <col min="10768" max="10768" width="3.42578125" style="2" customWidth="1"/>
    <col min="10769" max="11008" width="11" style="2"/>
    <col min="11009" max="11011" width="6.42578125" style="2" customWidth="1"/>
    <col min="11012" max="11012" width="4.42578125" style="2" customWidth="1"/>
    <col min="11013" max="11016" width="3.7109375" style="2" customWidth="1"/>
    <col min="11017" max="11017" width="5.7109375" style="2" customWidth="1"/>
    <col min="11018" max="11018" width="5.5703125" style="2" customWidth="1"/>
    <col min="11019" max="11019" width="11.5703125" style="2" customWidth="1"/>
    <col min="11020" max="11020" width="9.85546875" style="2" customWidth="1"/>
    <col min="11021" max="11021" width="4" style="2" customWidth="1"/>
    <col min="11022" max="11022" width="8.140625" style="2" customWidth="1"/>
    <col min="11023" max="11023" width="13.5703125" style="2" customWidth="1"/>
    <col min="11024" max="11024" width="3.42578125" style="2" customWidth="1"/>
    <col min="11025" max="11264" width="11" style="2"/>
    <col min="11265" max="11267" width="6.42578125" style="2" customWidth="1"/>
    <col min="11268" max="11268" width="4.42578125" style="2" customWidth="1"/>
    <col min="11269" max="11272" width="3.7109375" style="2" customWidth="1"/>
    <col min="11273" max="11273" width="5.7109375" style="2" customWidth="1"/>
    <col min="11274" max="11274" width="5.5703125" style="2" customWidth="1"/>
    <col min="11275" max="11275" width="11.5703125" style="2" customWidth="1"/>
    <col min="11276" max="11276" width="9.85546875" style="2" customWidth="1"/>
    <col min="11277" max="11277" width="4" style="2" customWidth="1"/>
    <col min="11278" max="11278" width="8.140625" style="2" customWidth="1"/>
    <col min="11279" max="11279" width="13.5703125" style="2" customWidth="1"/>
    <col min="11280" max="11280" width="3.42578125" style="2" customWidth="1"/>
    <col min="11281" max="11520" width="11" style="2"/>
    <col min="11521" max="11523" width="6.42578125" style="2" customWidth="1"/>
    <col min="11524" max="11524" width="4.42578125" style="2" customWidth="1"/>
    <col min="11525" max="11528" width="3.7109375" style="2" customWidth="1"/>
    <col min="11529" max="11529" width="5.7109375" style="2" customWidth="1"/>
    <col min="11530" max="11530" width="5.5703125" style="2" customWidth="1"/>
    <col min="11531" max="11531" width="11.5703125" style="2" customWidth="1"/>
    <col min="11532" max="11532" width="9.85546875" style="2" customWidth="1"/>
    <col min="11533" max="11533" width="4" style="2" customWidth="1"/>
    <col min="11534" max="11534" width="8.140625" style="2" customWidth="1"/>
    <col min="11535" max="11535" width="13.5703125" style="2" customWidth="1"/>
    <col min="11536" max="11536" width="3.42578125" style="2" customWidth="1"/>
    <col min="11537" max="11776" width="11" style="2"/>
    <col min="11777" max="11779" width="6.42578125" style="2" customWidth="1"/>
    <col min="11780" max="11780" width="4.42578125" style="2" customWidth="1"/>
    <col min="11781" max="11784" width="3.7109375" style="2" customWidth="1"/>
    <col min="11785" max="11785" width="5.7109375" style="2" customWidth="1"/>
    <col min="11786" max="11786" width="5.5703125" style="2" customWidth="1"/>
    <col min="11787" max="11787" width="11.5703125" style="2" customWidth="1"/>
    <col min="11788" max="11788" width="9.85546875" style="2" customWidth="1"/>
    <col min="11789" max="11789" width="4" style="2" customWidth="1"/>
    <col min="11790" max="11790" width="8.140625" style="2" customWidth="1"/>
    <col min="11791" max="11791" width="13.5703125" style="2" customWidth="1"/>
    <col min="11792" max="11792" width="3.42578125" style="2" customWidth="1"/>
    <col min="11793" max="12032" width="11" style="2"/>
    <col min="12033" max="12035" width="6.42578125" style="2" customWidth="1"/>
    <col min="12036" max="12036" width="4.42578125" style="2" customWidth="1"/>
    <col min="12037" max="12040" width="3.7109375" style="2" customWidth="1"/>
    <col min="12041" max="12041" width="5.7109375" style="2" customWidth="1"/>
    <col min="12042" max="12042" width="5.5703125" style="2" customWidth="1"/>
    <col min="12043" max="12043" width="11.5703125" style="2" customWidth="1"/>
    <col min="12044" max="12044" width="9.85546875" style="2" customWidth="1"/>
    <col min="12045" max="12045" width="4" style="2" customWidth="1"/>
    <col min="12046" max="12046" width="8.140625" style="2" customWidth="1"/>
    <col min="12047" max="12047" width="13.5703125" style="2" customWidth="1"/>
    <col min="12048" max="12048" width="3.42578125" style="2" customWidth="1"/>
    <col min="12049" max="12288" width="11" style="2"/>
    <col min="12289" max="12291" width="6.42578125" style="2" customWidth="1"/>
    <col min="12292" max="12292" width="4.42578125" style="2" customWidth="1"/>
    <col min="12293" max="12296" width="3.7109375" style="2" customWidth="1"/>
    <col min="12297" max="12297" width="5.7109375" style="2" customWidth="1"/>
    <col min="12298" max="12298" width="5.5703125" style="2" customWidth="1"/>
    <col min="12299" max="12299" width="11.5703125" style="2" customWidth="1"/>
    <col min="12300" max="12300" width="9.85546875" style="2" customWidth="1"/>
    <col min="12301" max="12301" width="4" style="2" customWidth="1"/>
    <col min="12302" max="12302" width="8.140625" style="2" customWidth="1"/>
    <col min="12303" max="12303" width="13.5703125" style="2" customWidth="1"/>
    <col min="12304" max="12304" width="3.42578125" style="2" customWidth="1"/>
    <col min="12305" max="12544" width="11" style="2"/>
    <col min="12545" max="12547" width="6.42578125" style="2" customWidth="1"/>
    <col min="12548" max="12548" width="4.42578125" style="2" customWidth="1"/>
    <col min="12549" max="12552" width="3.7109375" style="2" customWidth="1"/>
    <col min="12553" max="12553" width="5.7109375" style="2" customWidth="1"/>
    <col min="12554" max="12554" width="5.5703125" style="2" customWidth="1"/>
    <col min="12555" max="12555" width="11.5703125" style="2" customWidth="1"/>
    <col min="12556" max="12556" width="9.85546875" style="2" customWidth="1"/>
    <col min="12557" max="12557" width="4" style="2" customWidth="1"/>
    <col min="12558" max="12558" width="8.140625" style="2" customWidth="1"/>
    <col min="12559" max="12559" width="13.5703125" style="2" customWidth="1"/>
    <col min="12560" max="12560" width="3.42578125" style="2" customWidth="1"/>
    <col min="12561" max="12800" width="11" style="2"/>
    <col min="12801" max="12803" width="6.42578125" style="2" customWidth="1"/>
    <col min="12804" max="12804" width="4.42578125" style="2" customWidth="1"/>
    <col min="12805" max="12808" width="3.7109375" style="2" customWidth="1"/>
    <col min="12809" max="12809" width="5.7109375" style="2" customWidth="1"/>
    <col min="12810" max="12810" width="5.5703125" style="2" customWidth="1"/>
    <col min="12811" max="12811" width="11.5703125" style="2" customWidth="1"/>
    <col min="12812" max="12812" width="9.85546875" style="2" customWidth="1"/>
    <col min="12813" max="12813" width="4" style="2" customWidth="1"/>
    <col min="12814" max="12814" width="8.140625" style="2" customWidth="1"/>
    <col min="12815" max="12815" width="13.5703125" style="2" customWidth="1"/>
    <col min="12816" max="12816" width="3.42578125" style="2" customWidth="1"/>
    <col min="12817" max="13056" width="11" style="2"/>
    <col min="13057" max="13059" width="6.42578125" style="2" customWidth="1"/>
    <col min="13060" max="13060" width="4.42578125" style="2" customWidth="1"/>
    <col min="13061" max="13064" width="3.7109375" style="2" customWidth="1"/>
    <col min="13065" max="13065" width="5.7109375" style="2" customWidth="1"/>
    <col min="13066" max="13066" width="5.5703125" style="2" customWidth="1"/>
    <col min="13067" max="13067" width="11.5703125" style="2" customWidth="1"/>
    <col min="13068" max="13068" width="9.85546875" style="2" customWidth="1"/>
    <col min="13069" max="13069" width="4" style="2" customWidth="1"/>
    <col min="13070" max="13070" width="8.140625" style="2" customWidth="1"/>
    <col min="13071" max="13071" width="13.5703125" style="2" customWidth="1"/>
    <col min="13072" max="13072" width="3.42578125" style="2" customWidth="1"/>
    <col min="13073" max="13312" width="11" style="2"/>
    <col min="13313" max="13315" width="6.42578125" style="2" customWidth="1"/>
    <col min="13316" max="13316" width="4.42578125" style="2" customWidth="1"/>
    <col min="13317" max="13320" width="3.7109375" style="2" customWidth="1"/>
    <col min="13321" max="13321" width="5.7109375" style="2" customWidth="1"/>
    <col min="13322" max="13322" width="5.5703125" style="2" customWidth="1"/>
    <col min="13323" max="13323" width="11.5703125" style="2" customWidth="1"/>
    <col min="13324" max="13324" width="9.85546875" style="2" customWidth="1"/>
    <col min="13325" max="13325" width="4" style="2" customWidth="1"/>
    <col min="13326" max="13326" width="8.140625" style="2" customWidth="1"/>
    <col min="13327" max="13327" width="13.5703125" style="2" customWidth="1"/>
    <col min="13328" max="13328" width="3.42578125" style="2" customWidth="1"/>
    <col min="13329" max="13568" width="11" style="2"/>
    <col min="13569" max="13571" width="6.42578125" style="2" customWidth="1"/>
    <col min="13572" max="13572" width="4.42578125" style="2" customWidth="1"/>
    <col min="13573" max="13576" width="3.7109375" style="2" customWidth="1"/>
    <col min="13577" max="13577" width="5.7109375" style="2" customWidth="1"/>
    <col min="13578" max="13578" width="5.5703125" style="2" customWidth="1"/>
    <col min="13579" max="13579" width="11.5703125" style="2" customWidth="1"/>
    <col min="13580" max="13580" width="9.85546875" style="2" customWidth="1"/>
    <col min="13581" max="13581" width="4" style="2" customWidth="1"/>
    <col min="13582" max="13582" width="8.140625" style="2" customWidth="1"/>
    <col min="13583" max="13583" width="13.5703125" style="2" customWidth="1"/>
    <col min="13584" max="13584" width="3.42578125" style="2" customWidth="1"/>
    <col min="13585" max="13824" width="11" style="2"/>
    <col min="13825" max="13827" width="6.42578125" style="2" customWidth="1"/>
    <col min="13828" max="13828" width="4.42578125" style="2" customWidth="1"/>
    <col min="13829" max="13832" width="3.7109375" style="2" customWidth="1"/>
    <col min="13833" max="13833" width="5.7109375" style="2" customWidth="1"/>
    <col min="13834" max="13834" width="5.5703125" style="2" customWidth="1"/>
    <col min="13835" max="13835" width="11.5703125" style="2" customWidth="1"/>
    <col min="13836" max="13836" width="9.85546875" style="2" customWidth="1"/>
    <col min="13837" max="13837" width="4" style="2" customWidth="1"/>
    <col min="13838" max="13838" width="8.140625" style="2" customWidth="1"/>
    <col min="13839" max="13839" width="13.5703125" style="2" customWidth="1"/>
    <col min="13840" max="13840" width="3.42578125" style="2" customWidth="1"/>
    <col min="13841" max="14080" width="11" style="2"/>
    <col min="14081" max="14083" width="6.42578125" style="2" customWidth="1"/>
    <col min="14084" max="14084" width="4.42578125" style="2" customWidth="1"/>
    <col min="14085" max="14088" width="3.7109375" style="2" customWidth="1"/>
    <col min="14089" max="14089" width="5.7109375" style="2" customWidth="1"/>
    <col min="14090" max="14090" width="5.5703125" style="2" customWidth="1"/>
    <col min="14091" max="14091" width="11.5703125" style="2" customWidth="1"/>
    <col min="14092" max="14092" width="9.85546875" style="2" customWidth="1"/>
    <col min="14093" max="14093" width="4" style="2" customWidth="1"/>
    <col min="14094" max="14094" width="8.140625" style="2" customWidth="1"/>
    <col min="14095" max="14095" width="13.5703125" style="2" customWidth="1"/>
    <col min="14096" max="14096" width="3.42578125" style="2" customWidth="1"/>
    <col min="14097" max="14336" width="11" style="2"/>
    <col min="14337" max="14339" width="6.42578125" style="2" customWidth="1"/>
    <col min="14340" max="14340" width="4.42578125" style="2" customWidth="1"/>
    <col min="14341" max="14344" width="3.7109375" style="2" customWidth="1"/>
    <col min="14345" max="14345" width="5.7109375" style="2" customWidth="1"/>
    <col min="14346" max="14346" width="5.5703125" style="2" customWidth="1"/>
    <col min="14347" max="14347" width="11.5703125" style="2" customWidth="1"/>
    <col min="14348" max="14348" width="9.85546875" style="2" customWidth="1"/>
    <col min="14349" max="14349" width="4" style="2" customWidth="1"/>
    <col min="14350" max="14350" width="8.140625" style="2" customWidth="1"/>
    <col min="14351" max="14351" width="13.5703125" style="2" customWidth="1"/>
    <col min="14352" max="14352" width="3.42578125" style="2" customWidth="1"/>
    <col min="14353" max="14592" width="11" style="2"/>
    <col min="14593" max="14595" width="6.42578125" style="2" customWidth="1"/>
    <col min="14596" max="14596" width="4.42578125" style="2" customWidth="1"/>
    <col min="14597" max="14600" width="3.7109375" style="2" customWidth="1"/>
    <col min="14601" max="14601" width="5.7109375" style="2" customWidth="1"/>
    <col min="14602" max="14602" width="5.5703125" style="2" customWidth="1"/>
    <col min="14603" max="14603" width="11.5703125" style="2" customWidth="1"/>
    <col min="14604" max="14604" width="9.85546875" style="2" customWidth="1"/>
    <col min="14605" max="14605" width="4" style="2" customWidth="1"/>
    <col min="14606" max="14606" width="8.140625" style="2" customWidth="1"/>
    <col min="14607" max="14607" width="13.5703125" style="2" customWidth="1"/>
    <col min="14608" max="14608" width="3.42578125" style="2" customWidth="1"/>
    <col min="14609" max="14848" width="11" style="2"/>
    <col min="14849" max="14851" width="6.42578125" style="2" customWidth="1"/>
    <col min="14852" max="14852" width="4.42578125" style="2" customWidth="1"/>
    <col min="14853" max="14856" width="3.7109375" style="2" customWidth="1"/>
    <col min="14857" max="14857" width="5.7109375" style="2" customWidth="1"/>
    <col min="14858" max="14858" width="5.5703125" style="2" customWidth="1"/>
    <col min="14859" max="14859" width="11.5703125" style="2" customWidth="1"/>
    <col min="14860" max="14860" width="9.85546875" style="2" customWidth="1"/>
    <col min="14861" max="14861" width="4" style="2" customWidth="1"/>
    <col min="14862" max="14862" width="8.140625" style="2" customWidth="1"/>
    <col min="14863" max="14863" width="13.5703125" style="2" customWidth="1"/>
    <col min="14864" max="14864" width="3.42578125" style="2" customWidth="1"/>
    <col min="14865" max="15104" width="11" style="2"/>
    <col min="15105" max="15107" width="6.42578125" style="2" customWidth="1"/>
    <col min="15108" max="15108" width="4.42578125" style="2" customWidth="1"/>
    <col min="15109" max="15112" width="3.7109375" style="2" customWidth="1"/>
    <col min="15113" max="15113" width="5.7109375" style="2" customWidth="1"/>
    <col min="15114" max="15114" width="5.5703125" style="2" customWidth="1"/>
    <col min="15115" max="15115" width="11.5703125" style="2" customWidth="1"/>
    <col min="15116" max="15116" width="9.85546875" style="2" customWidth="1"/>
    <col min="15117" max="15117" width="4" style="2" customWidth="1"/>
    <col min="15118" max="15118" width="8.140625" style="2" customWidth="1"/>
    <col min="15119" max="15119" width="13.5703125" style="2" customWidth="1"/>
    <col min="15120" max="15120" width="3.42578125" style="2" customWidth="1"/>
    <col min="15121" max="15360" width="11" style="2"/>
    <col min="15361" max="15363" width="6.42578125" style="2" customWidth="1"/>
    <col min="15364" max="15364" width="4.42578125" style="2" customWidth="1"/>
    <col min="15365" max="15368" width="3.7109375" style="2" customWidth="1"/>
    <col min="15369" max="15369" width="5.7109375" style="2" customWidth="1"/>
    <col min="15370" max="15370" width="5.5703125" style="2" customWidth="1"/>
    <col min="15371" max="15371" width="11.5703125" style="2" customWidth="1"/>
    <col min="15372" max="15372" width="9.85546875" style="2" customWidth="1"/>
    <col min="15373" max="15373" width="4" style="2" customWidth="1"/>
    <col min="15374" max="15374" width="8.140625" style="2" customWidth="1"/>
    <col min="15375" max="15375" width="13.5703125" style="2" customWidth="1"/>
    <col min="15376" max="15376" width="3.42578125" style="2" customWidth="1"/>
    <col min="15377" max="15616" width="11" style="2"/>
    <col min="15617" max="15619" width="6.42578125" style="2" customWidth="1"/>
    <col min="15620" max="15620" width="4.42578125" style="2" customWidth="1"/>
    <col min="15621" max="15624" width="3.7109375" style="2" customWidth="1"/>
    <col min="15625" max="15625" width="5.7109375" style="2" customWidth="1"/>
    <col min="15626" max="15626" width="5.5703125" style="2" customWidth="1"/>
    <col min="15627" max="15627" width="11.5703125" style="2" customWidth="1"/>
    <col min="15628" max="15628" width="9.85546875" style="2" customWidth="1"/>
    <col min="15629" max="15629" width="4" style="2" customWidth="1"/>
    <col min="15630" max="15630" width="8.140625" style="2" customWidth="1"/>
    <col min="15631" max="15631" width="13.5703125" style="2" customWidth="1"/>
    <col min="15632" max="15632" width="3.42578125" style="2" customWidth="1"/>
    <col min="15633" max="15872" width="11" style="2"/>
    <col min="15873" max="15875" width="6.42578125" style="2" customWidth="1"/>
    <col min="15876" max="15876" width="4.42578125" style="2" customWidth="1"/>
    <col min="15877" max="15880" width="3.7109375" style="2" customWidth="1"/>
    <col min="15881" max="15881" width="5.7109375" style="2" customWidth="1"/>
    <col min="15882" max="15882" width="5.5703125" style="2" customWidth="1"/>
    <col min="15883" max="15883" width="11.5703125" style="2" customWidth="1"/>
    <col min="15884" max="15884" width="9.85546875" style="2" customWidth="1"/>
    <col min="15885" max="15885" width="4" style="2" customWidth="1"/>
    <col min="15886" max="15886" width="8.140625" style="2" customWidth="1"/>
    <col min="15887" max="15887" width="13.5703125" style="2" customWidth="1"/>
    <col min="15888" max="15888" width="3.42578125" style="2" customWidth="1"/>
    <col min="15889" max="16128" width="11" style="2"/>
    <col min="16129" max="16131" width="6.42578125" style="2" customWidth="1"/>
    <col min="16132" max="16132" width="4.42578125" style="2" customWidth="1"/>
    <col min="16133" max="16136" width="3.7109375" style="2" customWidth="1"/>
    <col min="16137" max="16137" width="5.7109375" style="2" customWidth="1"/>
    <col min="16138" max="16138" width="5.5703125" style="2" customWidth="1"/>
    <col min="16139" max="16139" width="11.5703125" style="2" customWidth="1"/>
    <col min="16140" max="16140" width="9.85546875" style="2" customWidth="1"/>
    <col min="16141" max="16141" width="4" style="2" customWidth="1"/>
    <col min="16142" max="16142" width="8.140625" style="2" customWidth="1"/>
    <col min="16143" max="16143" width="13.5703125" style="2" customWidth="1"/>
    <col min="16144" max="16144" width="3.42578125" style="2" customWidth="1"/>
    <col min="16145" max="16384" width="11" style="2"/>
  </cols>
  <sheetData>
    <row r="1" spans="1:16" ht="47.25" customHeight="1" thickBot="1" x14ac:dyDescent="0.25">
      <c r="A1" s="182"/>
      <c r="B1" s="182"/>
      <c r="C1" s="182"/>
      <c r="D1" s="182"/>
      <c r="E1" s="182"/>
      <c r="F1" s="182"/>
      <c r="G1" s="182"/>
      <c r="H1" s="182"/>
      <c r="I1" s="182"/>
      <c r="J1" s="182"/>
      <c r="K1" s="182"/>
      <c r="L1" s="182"/>
      <c r="M1" s="182"/>
      <c r="N1" s="182"/>
      <c r="O1" s="182"/>
      <c r="P1" s="182"/>
    </row>
    <row r="2" spans="1:16" ht="27" customHeight="1" thickBot="1" x14ac:dyDescent="0.25">
      <c r="A2" s="182"/>
      <c r="B2" s="182"/>
      <c r="C2" s="182"/>
      <c r="D2" s="182"/>
      <c r="E2" s="182"/>
      <c r="F2" s="182"/>
      <c r="G2" s="182"/>
      <c r="H2" s="182"/>
      <c r="I2" s="182"/>
      <c r="J2" s="182"/>
      <c r="K2" s="182"/>
      <c r="L2" s="182"/>
      <c r="M2" s="182"/>
      <c r="N2" s="182"/>
      <c r="O2" s="182"/>
      <c r="P2" s="182"/>
    </row>
    <row r="3" spans="1:16" ht="13.5" thickBot="1" x14ac:dyDescent="0.25">
      <c r="A3" s="183" t="s">
        <v>0</v>
      </c>
      <c r="B3" s="183"/>
      <c r="C3" s="183"/>
      <c r="D3" s="183"/>
      <c r="E3" s="183"/>
      <c r="F3" s="183"/>
      <c r="G3" s="183"/>
      <c r="H3" s="183"/>
      <c r="I3" s="183"/>
      <c r="J3" s="183"/>
      <c r="K3" s="183"/>
      <c r="L3" s="183"/>
      <c r="M3" s="183"/>
      <c r="N3" s="183"/>
      <c r="O3" s="183"/>
      <c r="P3" s="183"/>
    </row>
    <row r="4" spans="1:16" ht="15" customHeight="1" thickBot="1" x14ac:dyDescent="0.25">
      <c r="A4" s="184" t="s">
        <v>1</v>
      </c>
      <c r="B4" s="184"/>
      <c r="C4" s="184"/>
      <c r="D4" s="184"/>
      <c r="E4" s="184"/>
      <c r="F4" s="184"/>
      <c r="G4" s="184"/>
      <c r="H4" s="184"/>
      <c r="I4" s="184"/>
      <c r="J4" s="185" t="s">
        <v>2</v>
      </c>
      <c r="K4" s="185"/>
      <c r="L4" s="185"/>
      <c r="M4" s="185"/>
      <c r="N4" s="185"/>
      <c r="O4" s="185"/>
      <c r="P4" s="185"/>
    </row>
    <row r="5" spans="1:16" x14ac:dyDescent="0.2">
      <c r="A5" s="184"/>
      <c r="B5" s="184"/>
      <c r="C5" s="184"/>
      <c r="D5" s="184"/>
      <c r="E5" s="184"/>
      <c r="F5" s="184"/>
      <c r="G5" s="184"/>
      <c r="H5" s="184"/>
      <c r="I5" s="184"/>
      <c r="J5" s="185"/>
      <c r="K5" s="185"/>
      <c r="L5" s="185"/>
      <c r="M5" s="185"/>
      <c r="N5" s="185"/>
      <c r="O5" s="185"/>
      <c r="P5" s="185"/>
    </row>
    <row r="6" spans="1:16" ht="13.5" thickBot="1" x14ac:dyDescent="0.25">
      <c r="A6" s="186" t="s">
        <v>56</v>
      </c>
      <c r="B6" s="186"/>
      <c r="C6" s="186"/>
      <c r="D6" s="186"/>
      <c r="E6" s="186"/>
      <c r="F6" s="186"/>
      <c r="G6" s="186"/>
      <c r="H6" s="186"/>
      <c r="I6" s="186"/>
      <c r="J6" s="187">
        <v>46273</v>
      </c>
      <c r="K6" s="187"/>
      <c r="L6" s="187"/>
      <c r="M6" s="187"/>
      <c r="N6" s="187"/>
      <c r="O6" s="187"/>
      <c r="P6" s="187"/>
    </row>
    <row r="7" spans="1:16" ht="13.5" thickBot="1" x14ac:dyDescent="0.25">
      <c r="A7" s="188" t="s">
        <v>3</v>
      </c>
      <c r="B7" s="188"/>
      <c r="C7" s="188"/>
      <c r="D7" s="10" t="s">
        <v>4</v>
      </c>
      <c r="E7" s="188" t="s">
        <v>5</v>
      </c>
      <c r="F7" s="188"/>
      <c r="G7" s="188"/>
      <c r="H7" s="188"/>
      <c r="I7" s="188"/>
      <c r="J7" s="11"/>
      <c r="K7" s="188" t="s">
        <v>6</v>
      </c>
      <c r="L7" s="188"/>
      <c r="M7" s="10"/>
      <c r="N7" s="188" t="s">
        <v>7</v>
      </c>
      <c r="O7" s="188"/>
      <c r="P7" s="11"/>
    </row>
    <row r="8" spans="1:16" ht="13.5" thickBot="1" x14ac:dyDescent="0.25">
      <c r="A8" s="189" t="s">
        <v>8</v>
      </c>
      <c r="B8" s="189"/>
      <c r="C8" s="189"/>
      <c r="D8" s="189"/>
      <c r="E8" s="189"/>
      <c r="F8" s="189"/>
      <c r="G8" s="189"/>
      <c r="H8" s="189"/>
      <c r="I8" s="189"/>
      <c r="J8" s="189"/>
      <c r="K8" s="189"/>
      <c r="L8" s="189"/>
      <c r="M8" s="189"/>
      <c r="N8" s="189"/>
      <c r="O8" s="189"/>
      <c r="P8" s="189"/>
    </row>
    <row r="9" spans="1:16" x14ac:dyDescent="0.2">
      <c r="A9" s="181" t="s">
        <v>9</v>
      </c>
      <c r="B9" s="181"/>
      <c r="C9" s="181"/>
      <c r="D9" s="181"/>
      <c r="E9" s="181"/>
      <c r="F9" s="181"/>
      <c r="G9" s="181"/>
      <c r="H9" s="181"/>
      <c r="I9" s="181"/>
      <c r="J9" s="181" t="s">
        <v>10</v>
      </c>
      <c r="K9" s="181"/>
      <c r="L9" s="181"/>
      <c r="M9" s="181"/>
      <c r="N9" s="181"/>
      <c r="O9" s="181"/>
      <c r="P9" s="181"/>
    </row>
    <row r="10" spans="1:16" ht="28.5" customHeight="1" thickBot="1" x14ac:dyDescent="0.25">
      <c r="A10" s="190" t="s">
        <v>42</v>
      </c>
      <c r="B10" s="190"/>
      <c r="C10" s="190"/>
      <c r="D10" s="190"/>
      <c r="E10" s="190"/>
      <c r="F10" s="190"/>
      <c r="G10" s="190"/>
      <c r="H10" s="190"/>
      <c r="I10" s="190"/>
      <c r="J10" s="191" t="s">
        <v>48</v>
      </c>
      <c r="K10" s="192"/>
      <c r="L10" s="192"/>
      <c r="M10" s="192"/>
      <c r="N10" s="192"/>
      <c r="O10" s="192"/>
      <c r="P10" s="193"/>
    </row>
    <row r="11" spans="1:16" ht="15" customHeight="1" x14ac:dyDescent="0.2">
      <c r="A11" s="181" t="s">
        <v>11</v>
      </c>
      <c r="B11" s="181"/>
      <c r="C11" s="181"/>
      <c r="D11" s="181"/>
      <c r="E11" s="181"/>
      <c r="F11" s="181"/>
      <c r="G11" s="181"/>
      <c r="H11" s="181"/>
      <c r="I11" s="181"/>
      <c r="J11" s="181" t="s">
        <v>12</v>
      </c>
      <c r="K11" s="181"/>
      <c r="L11" s="181"/>
      <c r="M11" s="181"/>
      <c r="N11" s="181"/>
      <c r="O11" s="181"/>
      <c r="P11" s="181"/>
    </row>
    <row r="12" spans="1:16" ht="27" customHeight="1" thickBot="1" x14ac:dyDescent="0.25">
      <c r="A12" s="194" t="s">
        <v>49</v>
      </c>
      <c r="B12" s="194"/>
      <c r="C12" s="194"/>
      <c r="D12" s="194"/>
      <c r="E12" s="194"/>
      <c r="F12" s="194"/>
      <c r="G12" s="194"/>
      <c r="H12" s="194"/>
      <c r="I12" s="194"/>
      <c r="J12" s="194" t="s">
        <v>43</v>
      </c>
      <c r="K12" s="194"/>
      <c r="L12" s="194"/>
      <c r="M12" s="194"/>
      <c r="N12" s="194"/>
      <c r="O12" s="194"/>
      <c r="P12" s="194"/>
    </row>
    <row r="13" spans="1:16" ht="13.5" thickBot="1" x14ac:dyDescent="0.25">
      <c r="A13" s="196" t="s">
        <v>13</v>
      </c>
      <c r="B13" s="196"/>
      <c r="C13" s="196"/>
      <c r="D13" s="196"/>
      <c r="E13" s="196" t="s">
        <v>14</v>
      </c>
      <c r="F13" s="196"/>
      <c r="G13" s="196"/>
      <c r="H13" s="196"/>
      <c r="I13" s="196"/>
      <c r="J13" s="196" t="s">
        <v>15</v>
      </c>
      <c r="K13" s="196"/>
      <c r="L13" s="196"/>
      <c r="M13" s="196" t="s">
        <v>16</v>
      </c>
      <c r="N13" s="196"/>
      <c r="O13" s="196"/>
      <c r="P13" s="196"/>
    </row>
    <row r="14" spans="1:16" x14ac:dyDescent="0.2">
      <c r="A14" s="197">
        <v>46279</v>
      </c>
      <c r="B14" s="197"/>
      <c r="C14" s="197"/>
      <c r="D14" s="197"/>
      <c r="E14" s="198" t="s">
        <v>50</v>
      </c>
      <c r="F14" s="198"/>
      <c r="G14" s="198"/>
      <c r="H14" s="198"/>
      <c r="I14" s="198"/>
      <c r="J14" s="199">
        <v>46283</v>
      </c>
      <c r="K14" s="199"/>
      <c r="L14" s="199"/>
      <c r="M14" s="200" t="s">
        <v>40</v>
      </c>
      <c r="N14" s="200"/>
      <c r="O14" s="200"/>
      <c r="P14" s="200"/>
    </row>
    <row r="15" spans="1:16" ht="13.5" thickBot="1" x14ac:dyDescent="0.25">
      <c r="A15" s="201"/>
      <c r="B15" s="202"/>
      <c r="C15" s="202"/>
      <c r="D15" s="202"/>
      <c r="E15" s="203"/>
      <c r="F15" s="203"/>
      <c r="G15" s="203"/>
      <c r="H15" s="203"/>
      <c r="I15" s="203"/>
      <c r="J15" s="204"/>
      <c r="K15" s="204"/>
      <c r="L15" s="204"/>
      <c r="M15" s="205"/>
      <c r="N15" s="205"/>
      <c r="O15" s="205"/>
      <c r="P15" s="206"/>
    </row>
    <row r="16" spans="1:16" ht="35.25" customHeight="1" thickBot="1" x14ac:dyDescent="0.25">
      <c r="A16" s="207" t="s">
        <v>58</v>
      </c>
      <c r="B16" s="207"/>
      <c r="C16" s="207"/>
      <c r="D16" s="207"/>
      <c r="E16" s="207"/>
      <c r="F16" s="207"/>
      <c r="G16" s="207"/>
      <c r="H16" s="207"/>
      <c r="I16" s="207"/>
      <c r="J16" s="207"/>
      <c r="K16" s="207"/>
      <c r="L16" s="207"/>
      <c r="M16" s="207"/>
      <c r="N16" s="207"/>
      <c r="O16" s="207"/>
      <c r="P16" s="207"/>
    </row>
    <row r="17" spans="1:16" ht="13.5" thickBot="1" x14ac:dyDescent="0.25">
      <c r="A17" s="195" t="s">
        <v>17</v>
      </c>
      <c r="B17" s="195"/>
      <c r="C17" s="195"/>
      <c r="D17" s="195"/>
      <c r="E17" s="195"/>
      <c r="F17" s="195"/>
      <c r="G17" s="195"/>
      <c r="H17" s="195"/>
      <c r="I17" s="195"/>
      <c r="J17" s="195"/>
      <c r="K17" s="195"/>
      <c r="L17" s="195"/>
      <c r="M17" s="195"/>
      <c r="N17" s="195"/>
      <c r="O17" s="195"/>
      <c r="P17" s="195"/>
    </row>
    <row r="18" spans="1:16" ht="42" customHeight="1" thickBot="1" x14ac:dyDescent="0.25">
      <c r="A18" s="208" t="s">
        <v>57</v>
      </c>
      <c r="B18" s="209"/>
      <c r="C18" s="209"/>
      <c r="D18" s="209"/>
      <c r="E18" s="209"/>
      <c r="F18" s="209"/>
      <c r="G18" s="209"/>
      <c r="H18" s="209"/>
      <c r="I18" s="209"/>
      <c r="J18" s="209"/>
      <c r="K18" s="209"/>
      <c r="L18" s="209"/>
      <c r="M18" s="209"/>
      <c r="N18" s="209"/>
      <c r="O18" s="209"/>
      <c r="P18" s="209"/>
    </row>
    <row r="19" spans="1:16" ht="15" customHeight="1" thickBot="1" x14ac:dyDescent="0.25">
      <c r="A19" s="212" t="s">
        <v>34</v>
      </c>
      <c r="B19" s="212"/>
      <c r="C19" s="212"/>
      <c r="D19" s="212"/>
      <c r="E19" s="212"/>
      <c r="F19" s="212"/>
      <c r="G19" s="212"/>
      <c r="H19" s="212"/>
      <c r="I19" s="212"/>
      <c r="J19" s="212"/>
      <c r="K19" s="212"/>
      <c r="L19" s="212"/>
      <c r="M19" s="212"/>
      <c r="N19" s="212"/>
      <c r="O19" s="212"/>
      <c r="P19" s="212"/>
    </row>
    <row r="20" spans="1:16" ht="13.5" thickBot="1" x14ac:dyDescent="0.25">
      <c r="A20" s="210" t="s">
        <v>35</v>
      </c>
      <c r="B20" s="210"/>
      <c r="C20" s="210"/>
      <c r="D20" s="211" t="s">
        <v>18</v>
      </c>
      <c r="E20" s="211"/>
      <c r="F20" s="211"/>
      <c r="G20" s="211"/>
      <c r="H20" s="210" t="s">
        <v>19</v>
      </c>
      <c r="I20" s="210"/>
      <c r="J20" s="210"/>
      <c r="K20" s="211" t="s">
        <v>20</v>
      </c>
      <c r="L20" s="211"/>
      <c r="M20" s="211" t="s">
        <v>21</v>
      </c>
      <c r="N20" s="211"/>
      <c r="O20" s="211"/>
      <c r="P20" s="211"/>
    </row>
    <row r="21" spans="1:16" ht="36" customHeight="1" thickBot="1" x14ac:dyDescent="0.25">
      <c r="A21" s="210"/>
      <c r="B21" s="210"/>
      <c r="C21" s="210"/>
      <c r="D21" s="211"/>
      <c r="E21" s="211"/>
      <c r="F21" s="211"/>
      <c r="G21" s="211"/>
      <c r="H21" s="210"/>
      <c r="I21" s="210"/>
      <c r="J21" s="210"/>
      <c r="K21" s="3" t="s">
        <v>36</v>
      </c>
      <c r="L21" s="3" t="s">
        <v>37</v>
      </c>
      <c r="M21" s="210" t="s">
        <v>38</v>
      </c>
      <c r="N21" s="210"/>
      <c r="O21" s="210" t="s">
        <v>39</v>
      </c>
      <c r="P21" s="210"/>
    </row>
    <row r="22" spans="1:16" ht="13.5" thickBot="1" x14ac:dyDescent="0.25">
      <c r="A22" s="213" t="s">
        <v>22</v>
      </c>
      <c r="B22" s="213"/>
      <c r="C22" s="213"/>
      <c r="D22" s="213" t="s">
        <v>53</v>
      </c>
      <c r="E22" s="213"/>
      <c r="F22" s="213"/>
      <c r="G22" s="213"/>
      <c r="H22" s="214" t="s">
        <v>54</v>
      </c>
      <c r="I22" s="214"/>
      <c r="J22" s="214"/>
      <c r="K22" s="8">
        <v>46279</v>
      </c>
      <c r="L22" s="9" t="s">
        <v>50</v>
      </c>
      <c r="M22" s="216">
        <v>46279</v>
      </c>
      <c r="N22" s="217"/>
      <c r="O22" s="213" t="s">
        <v>23</v>
      </c>
      <c r="P22" s="213"/>
    </row>
    <row r="23" spans="1:16" ht="15.75" customHeight="1" thickBot="1" x14ac:dyDescent="0.25">
      <c r="A23" s="213" t="s">
        <v>22</v>
      </c>
      <c r="B23" s="213"/>
      <c r="C23" s="213"/>
      <c r="D23" s="213" t="s">
        <v>53</v>
      </c>
      <c r="E23" s="213"/>
      <c r="F23" s="213"/>
      <c r="G23" s="213"/>
      <c r="H23" s="214" t="s">
        <v>55</v>
      </c>
      <c r="I23" s="214"/>
      <c r="J23" s="214"/>
      <c r="K23" s="8">
        <v>46283</v>
      </c>
      <c r="L23" s="9" t="s">
        <v>41</v>
      </c>
      <c r="M23" s="215">
        <v>46283</v>
      </c>
      <c r="N23" s="215"/>
      <c r="O23" s="213" t="s">
        <v>40</v>
      </c>
      <c r="P23" s="213"/>
    </row>
    <row r="24" spans="1:16" ht="13.5" hidden="1" thickBot="1" x14ac:dyDescent="0.25">
      <c r="A24" s="5"/>
      <c r="B24" s="5"/>
      <c r="C24" s="5"/>
      <c r="D24" s="5"/>
      <c r="E24" s="5"/>
      <c r="F24" s="5"/>
      <c r="G24" s="5"/>
      <c r="H24" s="5"/>
      <c r="I24" s="5"/>
      <c r="J24" s="5"/>
      <c r="K24" s="1"/>
      <c r="L24" s="4"/>
      <c r="M24" s="6"/>
      <c r="N24" s="6"/>
      <c r="O24" s="5"/>
      <c r="P24" s="5"/>
    </row>
    <row r="25" spans="1:16" ht="13.5" hidden="1" thickBot="1" x14ac:dyDescent="0.25">
      <c r="A25" s="5"/>
      <c r="B25" s="5"/>
      <c r="C25" s="5"/>
      <c r="D25" s="5"/>
      <c r="E25" s="5"/>
      <c r="F25" s="5"/>
      <c r="G25" s="5"/>
      <c r="H25" s="5"/>
      <c r="I25" s="5"/>
      <c r="J25" s="5"/>
      <c r="K25" s="1"/>
      <c r="L25" s="4"/>
      <c r="M25" s="6"/>
      <c r="N25" s="6"/>
      <c r="O25" s="5"/>
      <c r="P25" s="5"/>
    </row>
    <row r="26" spans="1:16" ht="13.5" hidden="1" thickBot="1" x14ac:dyDescent="0.25">
      <c r="A26" s="5"/>
      <c r="B26" s="5"/>
      <c r="C26" s="5"/>
      <c r="D26" s="5"/>
      <c r="E26" s="5"/>
      <c r="F26" s="5"/>
      <c r="G26" s="5"/>
      <c r="H26" s="5"/>
      <c r="I26" s="5"/>
      <c r="J26" s="5"/>
      <c r="K26" s="1"/>
      <c r="L26" s="4"/>
      <c r="M26" s="6"/>
      <c r="N26" s="6"/>
      <c r="O26" s="5"/>
      <c r="P26" s="5"/>
    </row>
    <row r="27" spans="1:16" ht="13.5" hidden="1" thickBot="1" x14ac:dyDescent="0.25">
      <c r="A27" s="5"/>
      <c r="B27" s="5"/>
      <c r="C27" s="5"/>
      <c r="D27" s="5"/>
      <c r="E27" s="5"/>
      <c r="F27" s="5"/>
      <c r="G27" s="5"/>
      <c r="H27" s="5"/>
      <c r="I27" s="5"/>
      <c r="J27" s="5"/>
      <c r="K27" s="1"/>
      <c r="L27" s="4"/>
      <c r="M27" s="6"/>
      <c r="N27" s="6"/>
      <c r="O27" s="5"/>
      <c r="P27" s="5"/>
    </row>
    <row r="28" spans="1:16" ht="15" hidden="1" customHeight="1" thickBot="1" x14ac:dyDescent="0.25">
      <c r="A28" s="5"/>
      <c r="B28" s="5"/>
      <c r="C28" s="5"/>
      <c r="D28" s="5"/>
      <c r="E28" s="5"/>
      <c r="F28" s="5"/>
      <c r="G28" s="5"/>
      <c r="H28" s="5"/>
      <c r="I28" s="5"/>
      <c r="J28" s="5"/>
      <c r="K28" s="1"/>
      <c r="L28" s="4"/>
      <c r="M28" s="6"/>
      <c r="N28" s="6"/>
      <c r="O28" s="5"/>
      <c r="P28" s="5"/>
    </row>
    <row r="29" spans="1:16" ht="18" customHeight="1" thickBot="1" x14ac:dyDescent="0.25">
      <c r="A29" s="211"/>
      <c r="B29" s="211"/>
      <c r="C29" s="211"/>
      <c r="D29" s="211"/>
      <c r="E29" s="211"/>
      <c r="F29" s="211"/>
      <c r="G29" s="211"/>
      <c r="H29" s="211"/>
      <c r="I29" s="211"/>
      <c r="J29" s="211"/>
      <c r="K29" s="6"/>
      <c r="L29" s="7"/>
      <c r="M29" s="218"/>
      <c r="N29" s="218"/>
      <c r="O29" s="219"/>
      <c r="P29" s="219"/>
    </row>
    <row r="30" spans="1:16" ht="13.5" thickBot="1" x14ac:dyDescent="0.25">
      <c r="A30" s="221" t="s">
        <v>24</v>
      </c>
      <c r="B30" s="221"/>
      <c r="C30" s="221"/>
      <c r="D30" s="221"/>
      <c r="E30" s="221"/>
      <c r="F30" s="221"/>
      <c r="G30" s="221"/>
      <c r="H30" s="221"/>
      <c r="I30" s="221"/>
      <c r="J30" s="221"/>
      <c r="K30" s="221"/>
      <c r="L30" s="221"/>
      <c r="M30" s="221"/>
      <c r="N30" s="221"/>
      <c r="O30" s="221"/>
      <c r="P30" s="221"/>
    </row>
    <row r="31" spans="1:16" x14ac:dyDescent="0.2">
      <c r="A31" s="222" t="s">
        <v>25</v>
      </c>
      <c r="B31" s="222"/>
      <c r="C31" s="222"/>
      <c r="D31" s="222"/>
      <c r="E31" s="222"/>
      <c r="F31" s="222"/>
      <c r="G31" s="222"/>
      <c r="H31" s="222" t="s">
        <v>26</v>
      </c>
      <c r="I31" s="222"/>
      <c r="J31" s="222"/>
      <c r="K31" s="222"/>
      <c r="L31" s="222"/>
      <c r="M31" s="222" t="s">
        <v>27</v>
      </c>
      <c r="N31" s="222"/>
      <c r="O31" s="222"/>
      <c r="P31" s="222"/>
    </row>
    <row r="32" spans="1:16" ht="13.5" thickBot="1" x14ac:dyDescent="0.25">
      <c r="A32" s="223" t="s">
        <v>44</v>
      </c>
      <c r="B32" s="223"/>
      <c r="C32" s="223"/>
      <c r="D32" s="223"/>
      <c r="E32" s="223"/>
      <c r="F32" s="223"/>
      <c r="G32" s="223"/>
      <c r="H32" s="223" t="s">
        <v>28</v>
      </c>
      <c r="I32" s="223"/>
      <c r="J32" s="223"/>
      <c r="K32" s="223"/>
      <c r="L32" s="223"/>
      <c r="M32" s="224" t="s">
        <v>45</v>
      </c>
      <c r="N32" s="224"/>
      <c r="O32" s="224"/>
      <c r="P32" s="224"/>
    </row>
    <row r="33" spans="1:16" ht="13.5" thickBot="1" x14ac:dyDescent="0.25">
      <c r="A33" s="210" t="s">
        <v>29</v>
      </c>
      <c r="B33" s="210"/>
      <c r="C33" s="210"/>
      <c r="D33" s="210"/>
      <c r="E33" s="210"/>
      <c r="F33" s="210"/>
      <c r="G33" s="210"/>
      <c r="H33" s="210"/>
      <c r="I33" s="210"/>
      <c r="J33" s="225" t="s">
        <v>30</v>
      </c>
      <c r="K33" s="225"/>
      <c r="L33" s="225"/>
      <c r="M33" s="225"/>
      <c r="N33" s="225"/>
      <c r="O33" s="225"/>
      <c r="P33" s="225"/>
    </row>
    <row r="34" spans="1:16" ht="13.5" thickBot="1" x14ac:dyDescent="0.25">
      <c r="A34" s="210"/>
      <c r="B34" s="210"/>
      <c r="C34" s="210"/>
      <c r="D34" s="210"/>
      <c r="E34" s="210"/>
      <c r="F34" s="210"/>
      <c r="G34" s="210"/>
      <c r="H34" s="210"/>
      <c r="I34" s="210"/>
      <c r="J34" s="225"/>
      <c r="K34" s="225"/>
      <c r="L34" s="225"/>
      <c r="M34" s="225"/>
      <c r="N34" s="225"/>
      <c r="O34" s="225"/>
      <c r="P34" s="225"/>
    </row>
    <row r="35" spans="1:16" ht="13.5" hidden="1" thickBot="1" x14ac:dyDescent="0.25">
      <c r="A35" s="210"/>
      <c r="B35" s="210"/>
      <c r="C35" s="210"/>
      <c r="D35" s="210"/>
      <c r="E35" s="210"/>
      <c r="F35" s="210"/>
      <c r="G35" s="210"/>
      <c r="H35" s="210"/>
      <c r="I35" s="210"/>
      <c r="J35" s="225"/>
      <c r="K35" s="225"/>
      <c r="L35" s="225"/>
      <c r="M35" s="225"/>
      <c r="N35" s="225"/>
      <c r="O35" s="225"/>
      <c r="P35" s="225"/>
    </row>
    <row r="36" spans="1:16" ht="24" customHeight="1" thickBot="1" x14ac:dyDescent="0.25">
      <c r="A36" s="227" t="s">
        <v>46</v>
      </c>
      <c r="B36" s="228"/>
      <c r="C36" s="228"/>
      <c r="D36" s="228"/>
      <c r="E36" s="228"/>
      <c r="F36" s="228"/>
      <c r="G36" s="228"/>
      <c r="H36" s="228"/>
      <c r="I36" s="229"/>
      <c r="J36" s="225"/>
      <c r="K36" s="225"/>
      <c r="L36" s="225"/>
      <c r="M36" s="225"/>
      <c r="N36" s="225"/>
      <c r="O36" s="225"/>
      <c r="P36" s="225"/>
    </row>
    <row r="37" spans="1:16" ht="15.75" customHeight="1" thickBot="1" x14ac:dyDescent="0.25">
      <c r="A37" s="230"/>
      <c r="B37" s="231"/>
      <c r="C37" s="231"/>
      <c r="D37" s="231"/>
      <c r="E37" s="231"/>
      <c r="F37" s="231"/>
      <c r="G37" s="231"/>
      <c r="H37" s="231"/>
      <c r="I37" s="232"/>
      <c r="J37" s="225"/>
      <c r="K37" s="225"/>
      <c r="L37" s="225"/>
      <c r="M37" s="225"/>
      <c r="N37" s="225"/>
      <c r="O37" s="225"/>
      <c r="P37" s="225"/>
    </row>
    <row r="38" spans="1:16" ht="15.75" customHeight="1" thickBot="1" x14ac:dyDescent="0.25">
      <c r="A38" s="230"/>
      <c r="B38" s="231"/>
      <c r="C38" s="231"/>
      <c r="D38" s="231"/>
      <c r="E38" s="231"/>
      <c r="F38" s="231"/>
      <c r="G38" s="231"/>
      <c r="H38" s="231"/>
      <c r="I38" s="232"/>
      <c r="J38" s="225"/>
      <c r="K38" s="225"/>
      <c r="L38" s="225"/>
      <c r="M38" s="225"/>
      <c r="N38" s="225"/>
      <c r="O38" s="225"/>
      <c r="P38" s="225"/>
    </row>
    <row r="39" spans="1:16" ht="15" customHeight="1" thickBot="1" x14ac:dyDescent="0.25">
      <c r="A39" s="230"/>
      <c r="B39" s="231"/>
      <c r="C39" s="231"/>
      <c r="D39" s="231"/>
      <c r="E39" s="231"/>
      <c r="F39" s="231"/>
      <c r="G39" s="231"/>
      <c r="H39" s="231"/>
      <c r="I39" s="232"/>
      <c r="J39" s="225"/>
      <c r="K39" s="225"/>
      <c r="L39" s="225"/>
      <c r="M39" s="225"/>
      <c r="N39" s="225"/>
      <c r="O39" s="225"/>
      <c r="P39" s="225"/>
    </row>
    <row r="40" spans="1:16" ht="19.5" customHeight="1" thickBot="1" x14ac:dyDescent="0.25">
      <c r="A40" s="230"/>
      <c r="B40" s="231"/>
      <c r="C40" s="231"/>
      <c r="D40" s="231"/>
      <c r="E40" s="231"/>
      <c r="F40" s="231"/>
      <c r="G40" s="231"/>
      <c r="H40" s="231"/>
      <c r="I40" s="232"/>
      <c r="J40" s="225"/>
      <c r="K40" s="225"/>
      <c r="L40" s="225"/>
      <c r="M40" s="225"/>
      <c r="N40" s="225"/>
      <c r="O40" s="225"/>
      <c r="P40" s="225"/>
    </row>
    <row r="41" spans="1:16" ht="22.5" customHeight="1" thickBot="1" x14ac:dyDescent="0.25">
      <c r="A41" s="226" t="s">
        <v>47</v>
      </c>
      <c r="B41" s="226"/>
      <c r="C41" s="226"/>
      <c r="D41" s="226"/>
      <c r="E41" s="226"/>
      <c r="F41" s="226"/>
      <c r="G41" s="226"/>
      <c r="H41" s="226"/>
      <c r="I41" s="226"/>
      <c r="J41" s="225"/>
      <c r="K41" s="225"/>
      <c r="L41" s="225"/>
      <c r="M41" s="225"/>
      <c r="N41" s="225"/>
      <c r="O41" s="225"/>
      <c r="P41" s="225"/>
    </row>
    <row r="42" spans="1:16" ht="13.5" thickBot="1" x14ac:dyDescent="0.25">
      <c r="A42" s="220" t="s">
        <v>31</v>
      </c>
      <c r="B42" s="220"/>
      <c r="C42" s="220"/>
      <c r="D42" s="220"/>
      <c r="E42" s="220"/>
      <c r="F42" s="220"/>
      <c r="G42" s="220"/>
      <c r="H42" s="220"/>
      <c r="I42" s="220"/>
      <c r="J42" s="220"/>
      <c r="K42" s="220"/>
      <c r="L42" s="220"/>
      <c r="M42" s="220"/>
      <c r="N42" s="220"/>
      <c r="O42" s="220"/>
      <c r="P42" s="220"/>
    </row>
    <row r="43" spans="1:16" ht="28.5" customHeight="1" thickBot="1" x14ac:dyDescent="0.25">
      <c r="A43" s="233" t="s">
        <v>32</v>
      </c>
      <c r="B43" s="233"/>
      <c r="C43" s="233"/>
      <c r="D43" s="233"/>
      <c r="E43" s="233"/>
      <c r="F43" s="233"/>
      <c r="G43" s="233"/>
      <c r="H43" s="233"/>
      <c r="I43" s="233"/>
      <c r="J43" s="196" t="s">
        <v>33</v>
      </c>
      <c r="K43" s="196"/>
      <c r="L43" s="196"/>
      <c r="M43" s="196"/>
      <c r="N43" s="196"/>
      <c r="O43" s="196"/>
      <c r="P43" s="196"/>
    </row>
    <row r="44" spans="1:16" ht="13.5" thickBot="1" x14ac:dyDescent="0.25">
      <c r="A44" s="210"/>
      <c r="B44" s="210"/>
      <c r="C44" s="210"/>
      <c r="D44" s="210"/>
      <c r="E44" s="210"/>
      <c r="F44" s="210"/>
      <c r="G44" s="210"/>
      <c r="H44" s="210"/>
      <c r="I44" s="210"/>
      <c r="J44" s="234" t="s">
        <v>52</v>
      </c>
      <c r="K44" s="234"/>
      <c r="L44" s="234"/>
      <c r="M44" s="234"/>
      <c r="N44" s="234"/>
      <c r="O44" s="234"/>
      <c r="P44" s="234"/>
    </row>
    <row r="45" spans="1:16" ht="66" customHeight="1" thickBot="1" x14ac:dyDescent="0.25">
      <c r="A45" s="210"/>
      <c r="B45" s="210"/>
      <c r="C45" s="210"/>
      <c r="D45" s="210"/>
      <c r="E45" s="210"/>
      <c r="F45" s="210"/>
      <c r="G45" s="210"/>
      <c r="H45" s="210"/>
      <c r="I45" s="210"/>
      <c r="J45" s="234"/>
      <c r="K45" s="234"/>
      <c r="L45" s="234"/>
      <c r="M45" s="234"/>
      <c r="N45" s="234"/>
      <c r="O45" s="234"/>
      <c r="P45" s="234"/>
    </row>
    <row r="46" spans="1:16" ht="13.5" thickBot="1" x14ac:dyDescent="0.25">
      <c r="A46" s="235" t="s">
        <v>51</v>
      </c>
      <c r="B46" s="235"/>
      <c r="C46" s="235"/>
      <c r="D46" s="235"/>
      <c r="E46" s="235"/>
      <c r="F46" s="235"/>
      <c r="G46" s="235"/>
      <c r="H46" s="235"/>
      <c r="I46" s="235"/>
      <c r="J46" s="234"/>
      <c r="K46" s="234"/>
      <c r="L46" s="234"/>
      <c r="M46" s="234"/>
      <c r="N46" s="234"/>
      <c r="O46" s="234"/>
      <c r="P46" s="234"/>
    </row>
    <row r="47" spans="1:16" ht="13.5" thickBot="1" x14ac:dyDescent="0.25">
      <c r="A47" s="226" t="s">
        <v>47</v>
      </c>
      <c r="B47" s="226"/>
      <c r="C47" s="226"/>
      <c r="D47" s="226"/>
      <c r="E47" s="226"/>
      <c r="F47" s="226"/>
      <c r="G47" s="226"/>
      <c r="H47" s="226"/>
      <c r="I47" s="226"/>
      <c r="J47" s="234"/>
      <c r="K47" s="234"/>
      <c r="L47" s="234"/>
      <c r="M47" s="234"/>
      <c r="N47" s="234"/>
      <c r="O47" s="234"/>
      <c r="P47" s="234"/>
    </row>
    <row r="48" spans="1:16" ht="6" customHeight="1" x14ac:dyDescent="0.2"/>
  </sheetData>
  <mergeCells count="75">
    <mergeCell ref="A43:I43"/>
    <mergeCell ref="J43:P43"/>
    <mergeCell ref="A44:I45"/>
    <mergeCell ref="J44:P47"/>
    <mergeCell ref="A46:I46"/>
    <mergeCell ref="A47:I47"/>
    <mergeCell ref="A42:P42"/>
    <mergeCell ref="A30:P30"/>
    <mergeCell ref="A31:G31"/>
    <mergeCell ref="H31:L31"/>
    <mergeCell ref="M31:P31"/>
    <mergeCell ref="A32:G32"/>
    <mergeCell ref="H32:L32"/>
    <mergeCell ref="M32:P32"/>
    <mergeCell ref="A33:I35"/>
    <mergeCell ref="J33:P41"/>
    <mergeCell ref="A41:I41"/>
    <mergeCell ref="A36:I40"/>
    <mergeCell ref="A29:C29"/>
    <mergeCell ref="D29:G29"/>
    <mergeCell ref="H29:J29"/>
    <mergeCell ref="M29:N29"/>
    <mergeCell ref="O29:P29"/>
    <mergeCell ref="A22:C22"/>
    <mergeCell ref="D22:G22"/>
    <mergeCell ref="H22:J22"/>
    <mergeCell ref="M22:N22"/>
    <mergeCell ref="O22:P22"/>
    <mergeCell ref="A23:C23"/>
    <mergeCell ref="D23:G23"/>
    <mergeCell ref="H23:J23"/>
    <mergeCell ref="M23:N23"/>
    <mergeCell ref="O23:P23"/>
    <mergeCell ref="A18:P18"/>
    <mergeCell ref="A20:C21"/>
    <mergeCell ref="D20:G21"/>
    <mergeCell ref="H20:J21"/>
    <mergeCell ref="K20:L20"/>
    <mergeCell ref="M20:P20"/>
    <mergeCell ref="M21:N21"/>
    <mergeCell ref="O21:P21"/>
    <mergeCell ref="A19:P19"/>
    <mergeCell ref="A17:P17"/>
    <mergeCell ref="A13:D13"/>
    <mergeCell ref="E13:I13"/>
    <mergeCell ref="J13:L13"/>
    <mergeCell ref="M13:P13"/>
    <mergeCell ref="A14:D14"/>
    <mergeCell ref="E14:I14"/>
    <mergeCell ref="J14:L14"/>
    <mergeCell ref="M14:P14"/>
    <mergeCell ref="A15:D15"/>
    <mergeCell ref="E15:I15"/>
    <mergeCell ref="J15:L15"/>
    <mergeCell ref="M15:P15"/>
    <mergeCell ref="A16:P16"/>
    <mergeCell ref="A10:I10"/>
    <mergeCell ref="J10:P10"/>
    <mergeCell ref="A11:I11"/>
    <mergeCell ref="J11:P11"/>
    <mergeCell ref="A12:I12"/>
    <mergeCell ref="J12:P12"/>
    <mergeCell ref="A9:I9"/>
    <mergeCell ref="J9:P9"/>
    <mergeCell ref="A1:P2"/>
    <mergeCell ref="A3:P3"/>
    <mergeCell ref="A4:I5"/>
    <mergeCell ref="J4:P5"/>
    <mergeCell ref="A6:I6"/>
    <mergeCell ref="J6:P6"/>
    <mergeCell ref="A7:C7"/>
    <mergeCell ref="E7:I7"/>
    <mergeCell ref="K7:L7"/>
    <mergeCell ref="N7:O7"/>
    <mergeCell ref="A8:P8"/>
  </mergeCells>
  <printOptions horizontalCentered="1"/>
  <pageMargins left="0.27559055118110237" right="0.23622047244094491" top="0.74803149606299213" bottom="0.59055118110236227" header="0.31496062992125984" footer="0.31496062992125984"/>
  <pageSetup paperSize="9" scale="90"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45B49-9487-462D-89A8-42F5BB5B4B4B}">
  <sheetPr>
    <pageSetUpPr fitToPage="1"/>
  </sheetPr>
  <dimension ref="A1:N55"/>
  <sheetViews>
    <sheetView tabSelected="1" topLeftCell="A24" zoomScale="110" workbookViewId="0">
      <selection activeCell="A6" sqref="A6:N6"/>
    </sheetView>
  </sheetViews>
  <sheetFormatPr baseColWidth="10" defaultColWidth="9.140625" defaultRowHeight="25.5" customHeight="1" x14ac:dyDescent="0.25"/>
  <cols>
    <col min="1" max="1" width="7.42578125" style="12" customWidth="1"/>
    <col min="2" max="3" width="6.85546875" style="12" customWidth="1"/>
    <col min="4" max="4" width="6.42578125" style="12" customWidth="1"/>
    <col min="5" max="8" width="4.140625" style="12" customWidth="1"/>
    <col min="9" max="9" width="7.28515625" style="12" customWidth="1"/>
    <col min="10" max="10" width="9.140625" style="12" customWidth="1"/>
    <col min="11" max="14" width="11.7109375" style="12" customWidth="1"/>
    <col min="15" max="256" width="9.140625" style="12"/>
    <col min="257" max="257" width="7.42578125" style="12" customWidth="1"/>
    <col min="258" max="259" width="6.85546875" style="12" customWidth="1"/>
    <col min="260" max="260" width="6.42578125" style="12" customWidth="1"/>
    <col min="261" max="264" width="4.140625" style="12" customWidth="1"/>
    <col min="265" max="265" width="7.28515625" style="12" customWidth="1"/>
    <col min="266" max="266" width="9.140625" style="12"/>
    <col min="267" max="270" width="11.7109375" style="12" customWidth="1"/>
    <col min="271" max="512" width="9.140625" style="12"/>
    <col min="513" max="513" width="7.42578125" style="12" customWidth="1"/>
    <col min="514" max="515" width="6.85546875" style="12" customWidth="1"/>
    <col min="516" max="516" width="6.42578125" style="12" customWidth="1"/>
    <col min="517" max="520" width="4.140625" style="12" customWidth="1"/>
    <col min="521" max="521" width="7.28515625" style="12" customWidth="1"/>
    <col min="522" max="522" width="9.140625" style="12"/>
    <col min="523" max="526" width="11.7109375" style="12" customWidth="1"/>
    <col min="527" max="768" width="9.140625" style="12"/>
    <col min="769" max="769" width="7.42578125" style="12" customWidth="1"/>
    <col min="770" max="771" width="6.85546875" style="12" customWidth="1"/>
    <col min="772" max="772" width="6.42578125" style="12" customWidth="1"/>
    <col min="773" max="776" width="4.140625" style="12" customWidth="1"/>
    <col min="777" max="777" width="7.28515625" style="12" customWidth="1"/>
    <col min="778" max="778" width="9.140625" style="12"/>
    <col min="779" max="782" width="11.7109375" style="12" customWidth="1"/>
    <col min="783" max="1024" width="9.140625" style="12"/>
    <col min="1025" max="1025" width="7.42578125" style="12" customWidth="1"/>
    <col min="1026" max="1027" width="6.85546875" style="12" customWidth="1"/>
    <col min="1028" max="1028" width="6.42578125" style="12" customWidth="1"/>
    <col min="1029" max="1032" width="4.140625" style="12" customWidth="1"/>
    <col min="1033" max="1033" width="7.28515625" style="12" customWidth="1"/>
    <col min="1034" max="1034" width="9.140625" style="12"/>
    <col min="1035" max="1038" width="11.7109375" style="12" customWidth="1"/>
    <col min="1039" max="1280" width="9.140625" style="12"/>
    <col min="1281" max="1281" width="7.42578125" style="12" customWidth="1"/>
    <col min="1282" max="1283" width="6.85546875" style="12" customWidth="1"/>
    <col min="1284" max="1284" width="6.42578125" style="12" customWidth="1"/>
    <col min="1285" max="1288" width="4.140625" style="12" customWidth="1"/>
    <col min="1289" max="1289" width="7.28515625" style="12" customWidth="1"/>
    <col min="1290" max="1290" width="9.140625" style="12"/>
    <col min="1291" max="1294" width="11.7109375" style="12" customWidth="1"/>
    <col min="1295" max="1536" width="9.140625" style="12"/>
    <col min="1537" max="1537" width="7.42578125" style="12" customWidth="1"/>
    <col min="1538" max="1539" width="6.85546875" style="12" customWidth="1"/>
    <col min="1540" max="1540" width="6.42578125" style="12" customWidth="1"/>
    <col min="1541" max="1544" width="4.140625" style="12" customWidth="1"/>
    <col min="1545" max="1545" width="7.28515625" style="12" customWidth="1"/>
    <col min="1546" max="1546" width="9.140625" style="12"/>
    <col min="1547" max="1550" width="11.7109375" style="12" customWidth="1"/>
    <col min="1551" max="1792" width="9.140625" style="12"/>
    <col min="1793" max="1793" width="7.42578125" style="12" customWidth="1"/>
    <col min="1794" max="1795" width="6.85546875" style="12" customWidth="1"/>
    <col min="1796" max="1796" width="6.42578125" style="12" customWidth="1"/>
    <col min="1797" max="1800" width="4.140625" style="12" customWidth="1"/>
    <col min="1801" max="1801" width="7.28515625" style="12" customWidth="1"/>
    <col min="1802" max="1802" width="9.140625" style="12"/>
    <col min="1803" max="1806" width="11.7109375" style="12" customWidth="1"/>
    <col min="1807" max="2048" width="9.140625" style="12"/>
    <col min="2049" max="2049" width="7.42578125" style="12" customWidth="1"/>
    <col min="2050" max="2051" width="6.85546875" style="12" customWidth="1"/>
    <col min="2052" max="2052" width="6.42578125" style="12" customWidth="1"/>
    <col min="2053" max="2056" width="4.140625" style="12" customWidth="1"/>
    <col min="2057" max="2057" width="7.28515625" style="12" customWidth="1"/>
    <col min="2058" max="2058" width="9.140625" style="12"/>
    <col min="2059" max="2062" width="11.7109375" style="12" customWidth="1"/>
    <col min="2063" max="2304" width="9.140625" style="12"/>
    <col min="2305" max="2305" width="7.42578125" style="12" customWidth="1"/>
    <col min="2306" max="2307" width="6.85546875" style="12" customWidth="1"/>
    <col min="2308" max="2308" width="6.42578125" style="12" customWidth="1"/>
    <col min="2309" max="2312" width="4.140625" style="12" customWidth="1"/>
    <col min="2313" max="2313" width="7.28515625" style="12" customWidth="1"/>
    <col min="2314" max="2314" width="9.140625" style="12"/>
    <col min="2315" max="2318" width="11.7109375" style="12" customWidth="1"/>
    <col min="2319" max="2560" width="9.140625" style="12"/>
    <col min="2561" max="2561" width="7.42578125" style="12" customWidth="1"/>
    <col min="2562" max="2563" width="6.85546875" style="12" customWidth="1"/>
    <col min="2564" max="2564" width="6.42578125" style="12" customWidth="1"/>
    <col min="2565" max="2568" width="4.140625" style="12" customWidth="1"/>
    <col min="2569" max="2569" width="7.28515625" style="12" customWidth="1"/>
    <col min="2570" max="2570" width="9.140625" style="12"/>
    <col min="2571" max="2574" width="11.7109375" style="12" customWidth="1"/>
    <col min="2575" max="2816" width="9.140625" style="12"/>
    <col min="2817" max="2817" width="7.42578125" style="12" customWidth="1"/>
    <col min="2818" max="2819" width="6.85546875" style="12" customWidth="1"/>
    <col min="2820" max="2820" width="6.42578125" style="12" customWidth="1"/>
    <col min="2821" max="2824" width="4.140625" style="12" customWidth="1"/>
    <col min="2825" max="2825" width="7.28515625" style="12" customWidth="1"/>
    <col min="2826" max="2826" width="9.140625" style="12"/>
    <col min="2827" max="2830" width="11.7109375" style="12" customWidth="1"/>
    <col min="2831" max="3072" width="9.140625" style="12"/>
    <col min="3073" max="3073" width="7.42578125" style="12" customWidth="1"/>
    <col min="3074" max="3075" width="6.85546875" style="12" customWidth="1"/>
    <col min="3076" max="3076" width="6.42578125" style="12" customWidth="1"/>
    <col min="3077" max="3080" width="4.140625" style="12" customWidth="1"/>
    <col min="3081" max="3081" width="7.28515625" style="12" customWidth="1"/>
    <col min="3082" max="3082" width="9.140625" style="12"/>
    <col min="3083" max="3086" width="11.7109375" style="12" customWidth="1"/>
    <col min="3087" max="3328" width="9.140625" style="12"/>
    <col min="3329" max="3329" width="7.42578125" style="12" customWidth="1"/>
    <col min="3330" max="3331" width="6.85546875" style="12" customWidth="1"/>
    <col min="3332" max="3332" width="6.42578125" style="12" customWidth="1"/>
    <col min="3333" max="3336" width="4.140625" style="12" customWidth="1"/>
    <col min="3337" max="3337" width="7.28515625" style="12" customWidth="1"/>
    <col min="3338" max="3338" width="9.140625" style="12"/>
    <col min="3339" max="3342" width="11.7109375" style="12" customWidth="1"/>
    <col min="3343" max="3584" width="9.140625" style="12"/>
    <col min="3585" max="3585" width="7.42578125" style="12" customWidth="1"/>
    <col min="3586" max="3587" width="6.85546875" style="12" customWidth="1"/>
    <col min="3588" max="3588" width="6.42578125" style="12" customWidth="1"/>
    <col min="3589" max="3592" width="4.140625" style="12" customWidth="1"/>
    <col min="3593" max="3593" width="7.28515625" style="12" customWidth="1"/>
    <col min="3594" max="3594" width="9.140625" style="12"/>
    <col min="3595" max="3598" width="11.7109375" style="12" customWidth="1"/>
    <col min="3599" max="3840" width="9.140625" style="12"/>
    <col min="3841" max="3841" width="7.42578125" style="12" customWidth="1"/>
    <col min="3842" max="3843" width="6.85546875" style="12" customWidth="1"/>
    <col min="3844" max="3844" width="6.42578125" style="12" customWidth="1"/>
    <col min="3845" max="3848" width="4.140625" style="12" customWidth="1"/>
    <col min="3849" max="3849" width="7.28515625" style="12" customWidth="1"/>
    <col min="3850" max="3850" width="9.140625" style="12"/>
    <col min="3851" max="3854" width="11.7109375" style="12" customWidth="1"/>
    <col min="3855" max="4096" width="9.140625" style="12"/>
    <col min="4097" max="4097" width="7.42578125" style="12" customWidth="1"/>
    <col min="4098" max="4099" width="6.85546875" style="12" customWidth="1"/>
    <col min="4100" max="4100" width="6.42578125" style="12" customWidth="1"/>
    <col min="4101" max="4104" width="4.140625" style="12" customWidth="1"/>
    <col min="4105" max="4105" width="7.28515625" style="12" customWidth="1"/>
    <col min="4106" max="4106" width="9.140625" style="12"/>
    <col min="4107" max="4110" width="11.7109375" style="12" customWidth="1"/>
    <col min="4111" max="4352" width="9.140625" style="12"/>
    <col min="4353" max="4353" width="7.42578125" style="12" customWidth="1"/>
    <col min="4354" max="4355" width="6.85546875" style="12" customWidth="1"/>
    <col min="4356" max="4356" width="6.42578125" style="12" customWidth="1"/>
    <col min="4357" max="4360" width="4.140625" style="12" customWidth="1"/>
    <col min="4361" max="4361" width="7.28515625" style="12" customWidth="1"/>
    <col min="4362" max="4362" width="9.140625" style="12"/>
    <col min="4363" max="4366" width="11.7109375" style="12" customWidth="1"/>
    <col min="4367" max="4608" width="9.140625" style="12"/>
    <col min="4609" max="4609" width="7.42578125" style="12" customWidth="1"/>
    <col min="4610" max="4611" width="6.85546875" style="12" customWidth="1"/>
    <col min="4612" max="4612" width="6.42578125" style="12" customWidth="1"/>
    <col min="4613" max="4616" width="4.140625" style="12" customWidth="1"/>
    <col min="4617" max="4617" width="7.28515625" style="12" customWidth="1"/>
    <col min="4618" max="4618" width="9.140625" style="12"/>
    <col min="4619" max="4622" width="11.7109375" style="12" customWidth="1"/>
    <col min="4623" max="4864" width="9.140625" style="12"/>
    <col min="4865" max="4865" width="7.42578125" style="12" customWidth="1"/>
    <col min="4866" max="4867" width="6.85546875" style="12" customWidth="1"/>
    <col min="4868" max="4868" width="6.42578125" style="12" customWidth="1"/>
    <col min="4869" max="4872" width="4.140625" style="12" customWidth="1"/>
    <col min="4873" max="4873" width="7.28515625" style="12" customWidth="1"/>
    <col min="4874" max="4874" width="9.140625" style="12"/>
    <col min="4875" max="4878" width="11.7109375" style="12" customWidth="1"/>
    <col min="4879" max="5120" width="9.140625" style="12"/>
    <col min="5121" max="5121" width="7.42578125" style="12" customWidth="1"/>
    <col min="5122" max="5123" width="6.85546875" style="12" customWidth="1"/>
    <col min="5124" max="5124" width="6.42578125" style="12" customWidth="1"/>
    <col min="5125" max="5128" width="4.140625" style="12" customWidth="1"/>
    <col min="5129" max="5129" width="7.28515625" style="12" customWidth="1"/>
    <col min="5130" max="5130" width="9.140625" style="12"/>
    <col min="5131" max="5134" width="11.7109375" style="12" customWidth="1"/>
    <col min="5135" max="5376" width="9.140625" style="12"/>
    <col min="5377" max="5377" width="7.42578125" style="12" customWidth="1"/>
    <col min="5378" max="5379" width="6.85546875" style="12" customWidth="1"/>
    <col min="5380" max="5380" width="6.42578125" style="12" customWidth="1"/>
    <col min="5381" max="5384" width="4.140625" style="12" customWidth="1"/>
    <col min="5385" max="5385" width="7.28515625" style="12" customWidth="1"/>
    <col min="5386" max="5386" width="9.140625" style="12"/>
    <col min="5387" max="5390" width="11.7109375" style="12" customWidth="1"/>
    <col min="5391" max="5632" width="9.140625" style="12"/>
    <col min="5633" max="5633" width="7.42578125" style="12" customWidth="1"/>
    <col min="5634" max="5635" width="6.85546875" style="12" customWidth="1"/>
    <col min="5636" max="5636" width="6.42578125" style="12" customWidth="1"/>
    <col min="5637" max="5640" width="4.140625" style="12" customWidth="1"/>
    <col min="5641" max="5641" width="7.28515625" style="12" customWidth="1"/>
    <col min="5642" max="5642" width="9.140625" style="12"/>
    <col min="5643" max="5646" width="11.7109375" style="12" customWidth="1"/>
    <col min="5647" max="5888" width="9.140625" style="12"/>
    <col min="5889" max="5889" width="7.42578125" style="12" customWidth="1"/>
    <col min="5890" max="5891" width="6.85546875" style="12" customWidth="1"/>
    <col min="5892" max="5892" width="6.42578125" style="12" customWidth="1"/>
    <col min="5893" max="5896" width="4.140625" style="12" customWidth="1"/>
    <col min="5897" max="5897" width="7.28515625" style="12" customWidth="1"/>
    <col min="5898" max="5898" width="9.140625" style="12"/>
    <col min="5899" max="5902" width="11.7109375" style="12" customWidth="1"/>
    <col min="5903" max="6144" width="9.140625" style="12"/>
    <col min="6145" max="6145" width="7.42578125" style="12" customWidth="1"/>
    <col min="6146" max="6147" width="6.85546875" style="12" customWidth="1"/>
    <col min="6148" max="6148" width="6.42578125" style="12" customWidth="1"/>
    <col min="6149" max="6152" width="4.140625" style="12" customWidth="1"/>
    <col min="6153" max="6153" width="7.28515625" style="12" customWidth="1"/>
    <col min="6154" max="6154" width="9.140625" style="12"/>
    <col min="6155" max="6158" width="11.7109375" style="12" customWidth="1"/>
    <col min="6159" max="6400" width="9.140625" style="12"/>
    <col min="6401" max="6401" width="7.42578125" style="12" customWidth="1"/>
    <col min="6402" max="6403" width="6.85546875" style="12" customWidth="1"/>
    <col min="6404" max="6404" width="6.42578125" style="12" customWidth="1"/>
    <col min="6405" max="6408" width="4.140625" style="12" customWidth="1"/>
    <col min="6409" max="6409" width="7.28515625" style="12" customWidth="1"/>
    <col min="6410" max="6410" width="9.140625" style="12"/>
    <col min="6411" max="6414" width="11.7109375" style="12" customWidth="1"/>
    <col min="6415" max="6656" width="9.140625" style="12"/>
    <col min="6657" max="6657" width="7.42578125" style="12" customWidth="1"/>
    <col min="6658" max="6659" width="6.85546875" style="12" customWidth="1"/>
    <col min="6660" max="6660" width="6.42578125" style="12" customWidth="1"/>
    <col min="6661" max="6664" width="4.140625" style="12" customWidth="1"/>
    <col min="6665" max="6665" width="7.28515625" style="12" customWidth="1"/>
    <col min="6666" max="6666" width="9.140625" style="12"/>
    <col min="6667" max="6670" width="11.7109375" style="12" customWidth="1"/>
    <col min="6671" max="6912" width="9.140625" style="12"/>
    <col min="6913" max="6913" width="7.42578125" style="12" customWidth="1"/>
    <col min="6914" max="6915" width="6.85546875" style="12" customWidth="1"/>
    <col min="6916" max="6916" width="6.42578125" style="12" customWidth="1"/>
    <col min="6917" max="6920" width="4.140625" style="12" customWidth="1"/>
    <col min="6921" max="6921" width="7.28515625" style="12" customWidth="1"/>
    <col min="6922" max="6922" width="9.140625" style="12"/>
    <col min="6923" max="6926" width="11.7109375" style="12" customWidth="1"/>
    <col min="6927" max="7168" width="9.140625" style="12"/>
    <col min="7169" max="7169" width="7.42578125" style="12" customWidth="1"/>
    <col min="7170" max="7171" width="6.85546875" style="12" customWidth="1"/>
    <col min="7172" max="7172" width="6.42578125" style="12" customWidth="1"/>
    <col min="7173" max="7176" width="4.140625" style="12" customWidth="1"/>
    <col min="7177" max="7177" width="7.28515625" style="12" customWidth="1"/>
    <col min="7178" max="7178" width="9.140625" style="12"/>
    <col min="7179" max="7182" width="11.7109375" style="12" customWidth="1"/>
    <col min="7183" max="7424" width="9.140625" style="12"/>
    <col min="7425" max="7425" width="7.42578125" style="12" customWidth="1"/>
    <col min="7426" max="7427" width="6.85546875" style="12" customWidth="1"/>
    <col min="7428" max="7428" width="6.42578125" style="12" customWidth="1"/>
    <col min="7429" max="7432" width="4.140625" style="12" customWidth="1"/>
    <col min="7433" max="7433" width="7.28515625" style="12" customWidth="1"/>
    <col min="7434" max="7434" width="9.140625" style="12"/>
    <col min="7435" max="7438" width="11.7109375" style="12" customWidth="1"/>
    <col min="7439" max="7680" width="9.140625" style="12"/>
    <col min="7681" max="7681" width="7.42578125" style="12" customWidth="1"/>
    <col min="7682" max="7683" width="6.85546875" style="12" customWidth="1"/>
    <col min="7684" max="7684" width="6.42578125" style="12" customWidth="1"/>
    <col min="7685" max="7688" width="4.140625" style="12" customWidth="1"/>
    <col min="7689" max="7689" width="7.28515625" style="12" customWidth="1"/>
    <col min="7690" max="7690" width="9.140625" style="12"/>
    <col min="7691" max="7694" width="11.7109375" style="12" customWidth="1"/>
    <col min="7695" max="7936" width="9.140625" style="12"/>
    <col min="7937" max="7937" width="7.42578125" style="12" customWidth="1"/>
    <col min="7938" max="7939" width="6.85546875" style="12" customWidth="1"/>
    <col min="7940" max="7940" width="6.42578125" style="12" customWidth="1"/>
    <col min="7941" max="7944" width="4.140625" style="12" customWidth="1"/>
    <col min="7945" max="7945" width="7.28515625" style="12" customWidth="1"/>
    <col min="7946" max="7946" width="9.140625" style="12"/>
    <col min="7947" max="7950" width="11.7109375" style="12" customWidth="1"/>
    <col min="7951" max="8192" width="9.140625" style="12"/>
    <col min="8193" max="8193" width="7.42578125" style="12" customWidth="1"/>
    <col min="8194" max="8195" width="6.85546875" style="12" customWidth="1"/>
    <col min="8196" max="8196" width="6.42578125" style="12" customWidth="1"/>
    <col min="8197" max="8200" width="4.140625" style="12" customWidth="1"/>
    <col min="8201" max="8201" width="7.28515625" style="12" customWidth="1"/>
    <col min="8202" max="8202" width="9.140625" style="12"/>
    <col min="8203" max="8206" width="11.7109375" style="12" customWidth="1"/>
    <col min="8207" max="8448" width="9.140625" style="12"/>
    <col min="8449" max="8449" width="7.42578125" style="12" customWidth="1"/>
    <col min="8450" max="8451" width="6.85546875" style="12" customWidth="1"/>
    <col min="8452" max="8452" width="6.42578125" style="12" customWidth="1"/>
    <col min="8453" max="8456" width="4.140625" style="12" customWidth="1"/>
    <col min="8457" max="8457" width="7.28515625" style="12" customWidth="1"/>
    <col min="8458" max="8458" width="9.140625" style="12"/>
    <col min="8459" max="8462" width="11.7109375" style="12" customWidth="1"/>
    <col min="8463" max="8704" width="9.140625" style="12"/>
    <col min="8705" max="8705" width="7.42578125" style="12" customWidth="1"/>
    <col min="8706" max="8707" width="6.85546875" style="12" customWidth="1"/>
    <col min="8708" max="8708" width="6.42578125" style="12" customWidth="1"/>
    <col min="8709" max="8712" width="4.140625" style="12" customWidth="1"/>
    <col min="8713" max="8713" width="7.28515625" style="12" customWidth="1"/>
    <col min="8714" max="8714" width="9.140625" style="12"/>
    <col min="8715" max="8718" width="11.7109375" style="12" customWidth="1"/>
    <col min="8719" max="8960" width="9.140625" style="12"/>
    <col min="8961" max="8961" width="7.42578125" style="12" customWidth="1"/>
    <col min="8962" max="8963" width="6.85546875" style="12" customWidth="1"/>
    <col min="8964" max="8964" width="6.42578125" style="12" customWidth="1"/>
    <col min="8965" max="8968" width="4.140625" style="12" customWidth="1"/>
    <col min="8969" max="8969" width="7.28515625" style="12" customWidth="1"/>
    <col min="8970" max="8970" width="9.140625" style="12"/>
    <col min="8971" max="8974" width="11.7109375" style="12" customWidth="1"/>
    <col min="8975" max="9216" width="9.140625" style="12"/>
    <col min="9217" max="9217" width="7.42578125" style="12" customWidth="1"/>
    <col min="9218" max="9219" width="6.85546875" style="12" customWidth="1"/>
    <col min="9220" max="9220" width="6.42578125" style="12" customWidth="1"/>
    <col min="9221" max="9224" width="4.140625" style="12" customWidth="1"/>
    <col min="9225" max="9225" width="7.28515625" style="12" customWidth="1"/>
    <col min="9226" max="9226" width="9.140625" style="12"/>
    <col min="9227" max="9230" width="11.7109375" style="12" customWidth="1"/>
    <col min="9231" max="9472" width="9.140625" style="12"/>
    <col min="9473" max="9473" width="7.42578125" style="12" customWidth="1"/>
    <col min="9474" max="9475" width="6.85546875" style="12" customWidth="1"/>
    <col min="9476" max="9476" width="6.42578125" style="12" customWidth="1"/>
    <col min="9477" max="9480" width="4.140625" style="12" customWidth="1"/>
    <col min="9481" max="9481" width="7.28515625" style="12" customWidth="1"/>
    <col min="9482" max="9482" width="9.140625" style="12"/>
    <col min="9483" max="9486" width="11.7109375" style="12" customWidth="1"/>
    <col min="9487" max="9728" width="9.140625" style="12"/>
    <col min="9729" max="9729" width="7.42578125" style="12" customWidth="1"/>
    <col min="9730" max="9731" width="6.85546875" style="12" customWidth="1"/>
    <col min="9732" max="9732" width="6.42578125" style="12" customWidth="1"/>
    <col min="9733" max="9736" width="4.140625" style="12" customWidth="1"/>
    <col min="9737" max="9737" width="7.28515625" style="12" customWidth="1"/>
    <col min="9738" max="9738" width="9.140625" style="12"/>
    <col min="9739" max="9742" width="11.7109375" style="12" customWidth="1"/>
    <col min="9743" max="9984" width="9.140625" style="12"/>
    <col min="9985" max="9985" width="7.42578125" style="12" customWidth="1"/>
    <col min="9986" max="9987" width="6.85546875" style="12" customWidth="1"/>
    <col min="9988" max="9988" width="6.42578125" style="12" customWidth="1"/>
    <col min="9989" max="9992" width="4.140625" style="12" customWidth="1"/>
    <col min="9993" max="9993" width="7.28515625" style="12" customWidth="1"/>
    <col min="9994" max="9994" width="9.140625" style="12"/>
    <col min="9995" max="9998" width="11.7109375" style="12" customWidth="1"/>
    <col min="9999" max="10240" width="9.140625" style="12"/>
    <col min="10241" max="10241" width="7.42578125" style="12" customWidth="1"/>
    <col min="10242" max="10243" width="6.85546875" style="12" customWidth="1"/>
    <col min="10244" max="10244" width="6.42578125" style="12" customWidth="1"/>
    <col min="10245" max="10248" width="4.140625" style="12" customWidth="1"/>
    <col min="10249" max="10249" width="7.28515625" style="12" customWidth="1"/>
    <col min="10250" max="10250" width="9.140625" style="12"/>
    <col min="10251" max="10254" width="11.7109375" style="12" customWidth="1"/>
    <col min="10255" max="10496" width="9.140625" style="12"/>
    <col min="10497" max="10497" width="7.42578125" style="12" customWidth="1"/>
    <col min="10498" max="10499" width="6.85546875" style="12" customWidth="1"/>
    <col min="10500" max="10500" width="6.42578125" style="12" customWidth="1"/>
    <col min="10501" max="10504" width="4.140625" style="12" customWidth="1"/>
    <col min="10505" max="10505" width="7.28515625" style="12" customWidth="1"/>
    <col min="10506" max="10506" width="9.140625" style="12"/>
    <col min="10507" max="10510" width="11.7109375" style="12" customWidth="1"/>
    <col min="10511" max="10752" width="9.140625" style="12"/>
    <col min="10753" max="10753" width="7.42578125" style="12" customWidth="1"/>
    <col min="10754" max="10755" width="6.85546875" style="12" customWidth="1"/>
    <col min="10756" max="10756" width="6.42578125" style="12" customWidth="1"/>
    <col min="10757" max="10760" width="4.140625" style="12" customWidth="1"/>
    <col min="10761" max="10761" width="7.28515625" style="12" customWidth="1"/>
    <col min="10762" max="10762" width="9.140625" style="12"/>
    <col min="10763" max="10766" width="11.7109375" style="12" customWidth="1"/>
    <col min="10767" max="11008" width="9.140625" style="12"/>
    <col min="11009" max="11009" width="7.42578125" style="12" customWidth="1"/>
    <col min="11010" max="11011" width="6.85546875" style="12" customWidth="1"/>
    <col min="11012" max="11012" width="6.42578125" style="12" customWidth="1"/>
    <col min="11013" max="11016" width="4.140625" style="12" customWidth="1"/>
    <col min="11017" max="11017" width="7.28515625" style="12" customWidth="1"/>
    <col min="11018" max="11018" width="9.140625" style="12"/>
    <col min="11019" max="11022" width="11.7109375" style="12" customWidth="1"/>
    <col min="11023" max="11264" width="9.140625" style="12"/>
    <col min="11265" max="11265" width="7.42578125" style="12" customWidth="1"/>
    <col min="11266" max="11267" width="6.85546875" style="12" customWidth="1"/>
    <col min="11268" max="11268" width="6.42578125" style="12" customWidth="1"/>
    <col min="11269" max="11272" width="4.140625" style="12" customWidth="1"/>
    <col min="11273" max="11273" width="7.28515625" style="12" customWidth="1"/>
    <col min="11274" max="11274" width="9.140625" style="12"/>
    <col min="11275" max="11278" width="11.7109375" style="12" customWidth="1"/>
    <col min="11279" max="11520" width="9.140625" style="12"/>
    <col min="11521" max="11521" width="7.42578125" style="12" customWidth="1"/>
    <col min="11522" max="11523" width="6.85546875" style="12" customWidth="1"/>
    <col min="11524" max="11524" width="6.42578125" style="12" customWidth="1"/>
    <col min="11525" max="11528" width="4.140625" style="12" customWidth="1"/>
    <col min="11529" max="11529" width="7.28515625" style="12" customWidth="1"/>
    <col min="11530" max="11530" width="9.140625" style="12"/>
    <col min="11531" max="11534" width="11.7109375" style="12" customWidth="1"/>
    <col min="11535" max="11776" width="9.140625" style="12"/>
    <col min="11777" max="11777" width="7.42578125" style="12" customWidth="1"/>
    <col min="11778" max="11779" width="6.85546875" style="12" customWidth="1"/>
    <col min="11780" max="11780" width="6.42578125" style="12" customWidth="1"/>
    <col min="11781" max="11784" width="4.140625" style="12" customWidth="1"/>
    <col min="11785" max="11785" width="7.28515625" style="12" customWidth="1"/>
    <col min="11786" max="11786" width="9.140625" style="12"/>
    <col min="11787" max="11790" width="11.7109375" style="12" customWidth="1"/>
    <col min="11791" max="12032" width="9.140625" style="12"/>
    <col min="12033" max="12033" width="7.42578125" style="12" customWidth="1"/>
    <col min="12034" max="12035" width="6.85546875" style="12" customWidth="1"/>
    <col min="12036" max="12036" width="6.42578125" style="12" customWidth="1"/>
    <col min="12037" max="12040" width="4.140625" style="12" customWidth="1"/>
    <col min="12041" max="12041" width="7.28515625" style="12" customWidth="1"/>
    <col min="12042" max="12042" width="9.140625" style="12"/>
    <col min="12043" max="12046" width="11.7109375" style="12" customWidth="1"/>
    <col min="12047" max="12288" width="9.140625" style="12"/>
    <col min="12289" max="12289" width="7.42578125" style="12" customWidth="1"/>
    <col min="12290" max="12291" width="6.85546875" style="12" customWidth="1"/>
    <col min="12292" max="12292" width="6.42578125" style="12" customWidth="1"/>
    <col min="12293" max="12296" width="4.140625" style="12" customWidth="1"/>
    <col min="12297" max="12297" width="7.28515625" style="12" customWidth="1"/>
    <col min="12298" max="12298" width="9.140625" style="12"/>
    <col min="12299" max="12302" width="11.7109375" style="12" customWidth="1"/>
    <col min="12303" max="12544" width="9.140625" style="12"/>
    <col min="12545" max="12545" width="7.42578125" style="12" customWidth="1"/>
    <col min="12546" max="12547" width="6.85546875" style="12" customWidth="1"/>
    <col min="12548" max="12548" width="6.42578125" style="12" customWidth="1"/>
    <col min="12549" max="12552" width="4.140625" style="12" customWidth="1"/>
    <col min="12553" max="12553" width="7.28515625" style="12" customWidth="1"/>
    <col min="12554" max="12554" width="9.140625" style="12"/>
    <col min="12555" max="12558" width="11.7109375" style="12" customWidth="1"/>
    <col min="12559" max="12800" width="9.140625" style="12"/>
    <col min="12801" max="12801" width="7.42578125" style="12" customWidth="1"/>
    <col min="12802" max="12803" width="6.85546875" style="12" customWidth="1"/>
    <col min="12804" max="12804" width="6.42578125" style="12" customWidth="1"/>
    <col min="12805" max="12808" width="4.140625" style="12" customWidth="1"/>
    <col min="12809" max="12809" width="7.28515625" style="12" customWidth="1"/>
    <col min="12810" max="12810" width="9.140625" style="12"/>
    <col min="12811" max="12814" width="11.7109375" style="12" customWidth="1"/>
    <col min="12815" max="13056" width="9.140625" style="12"/>
    <col min="13057" max="13057" width="7.42578125" style="12" customWidth="1"/>
    <col min="13058" max="13059" width="6.85546875" style="12" customWidth="1"/>
    <col min="13060" max="13060" width="6.42578125" style="12" customWidth="1"/>
    <col min="13061" max="13064" width="4.140625" style="12" customWidth="1"/>
    <col min="13065" max="13065" width="7.28515625" style="12" customWidth="1"/>
    <col min="13066" max="13066" width="9.140625" style="12"/>
    <col min="13067" max="13070" width="11.7109375" style="12" customWidth="1"/>
    <col min="13071" max="13312" width="9.140625" style="12"/>
    <col min="13313" max="13313" width="7.42578125" style="12" customWidth="1"/>
    <col min="13314" max="13315" width="6.85546875" style="12" customWidth="1"/>
    <col min="13316" max="13316" width="6.42578125" style="12" customWidth="1"/>
    <col min="13317" max="13320" width="4.140625" style="12" customWidth="1"/>
    <col min="13321" max="13321" width="7.28515625" style="12" customWidth="1"/>
    <col min="13322" max="13322" width="9.140625" style="12"/>
    <col min="13323" max="13326" width="11.7109375" style="12" customWidth="1"/>
    <col min="13327" max="13568" width="9.140625" style="12"/>
    <col min="13569" max="13569" width="7.42578125" style="12" customWidth="1"/>
    <col min="13570" max="13571" width="6.85546875" style="12" customWidth="1"/>
    <col min="13572" max="13572" width="6.42578125" style="12" customWidth="1"/>
    <col min="13573" max="13576" width="4.140625" style="12" customWidth="1"/>
    <col min="13577" max="13577" width="7.28515625" style="12" customWidth="1"/>
    <col min="13578" max="13578" width="9.140625" style="12"/>
    <col min="13579" max="13582" width="11.7109375" style="12" customWidth="1"/>
    <col min="13583" max="13824" width="9.140625" style="12"/>
    <col min="13825" max="13825" width="7.42578125" style="12" customWidth="1"/>
    <col min="13826" max="13827" width="6.85546875" style="12" customWidth="1"/>
    <col min="13828" max="13828" width="6.42578125" style="12" customWidth="1"/>
    <col min="13829" max="13832" width="4.140625" style="12" customWidth="1"/>
    <col min="13833" max="13833" width="7.28515625" style="12" customWidth="1"/>
    <col min="13834" max="13834" width="9.140625" style="12"/>
    <col min="13835" max="13838" width="11.7109375" style="12" customWidth="1"/>
    <col min="13839" max="14080" width="9.140625" style="12"/>
    <col min="14081" max="14081" width="7.42578125" style="12" customWidth="1"/>
    <col min="14082" max="14083" width="6.85546875" style="12" customWidth="1"/>
    <col min="14084" max="14084" width="6.42578125" style="12" customWidth="1"/>
    <col min="14085" max="14088" width="4.140625" style="12" customWidth="1"/>
    <col min="14089" max="14089" width="7.28515625" style="12" customWidth="1"/>
    <col min="14090" max="14090" width="9.140625" style="12"/>
    <col min="14091" max="14094" width="11.7109375" style="12" customWidth="1"/>
    <col min="14095" max="14336" width="9.140625" style="12"/>
    <col min="14337" max="14337" width="7.42578125" style="12" customWidth="1"/>
    <col min="14338" max="14339" width="6.85546875" style="12" customWidth="1"/>
    <col min="14340" max="14340" width="6.42578125" style="12" customWidth="1"/>
    <col min="14341" max="14344" width="4.140625" style="12" customWidth="1"/>
    <col min="14345" max="14345" width="7.28515625" style="12" customWidth="1"/>
    <col min="14346" max="14346" width="9.140625" style="12"/>
    <col min="14347" max="14350" width="11.7109375" style="12" customWidth="1"/>
    <col min="14351" max="14592" width="9.140625" style="12"/>
    <col min="14593" max="14593" width="7.42578125" style="12" customWidth="1"/>
    <col min="14594" max="14595" width="6.85546875" style="12" customWidth="1"/>
    <col min="14596" max="14596" width="6.42578125" style="12" customWidth="1"/>
    <col min="14597" max="14600" width="4.140625" style="12" customWidth="1"/>
    <col min="14601" max="14601" width="7.28515625" style="12" customWidth="1"/>
    <col min="14602" max="14602" width="9.140625" style="12"/>
    <col min="14603" max="14606" width="11.7109375" style="12" customWidth="1"/>
    <col min="14607" max="14848" width="9.140625" style="12"/>
    <col min="14849" max="14849" width="7.42578125" style="12" customWidth="1"/>
    <col min="14850" max="14851" width="6.85546875" style="12" customWidth="1"/>
    <col min="14852" max="14852" width="6.42578125" style="12" customWidth="1"/>
    <col min="14853" max="14856" width="4.140625" style="12" customWidth="1"/>
    <col min="14857" max="14857" width="7.28515625" style="12" customWidth="1"/>
    <col min="14858" max="14858" width="9.140625" style="12"/>
    <col min="14859" max="14862" width="11.7109375" style="12" customWidth="1"/>
    <col min="14863" max="15104" width="9.140625" style="12"/>
    <col min="15105" max="15105" width="7.42578125" style="12" customWidth="1"/>
    <col min="15106" max="15107" width="6.85546875" style="12" customWidth="1"/>
    <col min="15108" max="15108" width="6.42578125" style="12" customWidth="1"/>
    <col min="15109" max="15112" width="4.140625" style="12" customWidth="1"/>
    <col min="15113" max="15113" width="7.28515625" style="12" customWidth="1"/>
    <col min="15114" max="15114" width="9.140625" style="12"/>
    <col min="15115" max="15118" width="11.7109375" style="12" customWidth="1"/>
    <col min="15119" max="15360" width="9.140625" style="12"/>
    <col min="15361" max="15361" width="7.42578125" style="12" customWidth="1"/>
    <col min="15362" max="15363" width="6.85546875" style="12" customWidth="1"/>
    <col min="15364" max="15364" width="6.42578125" style="12" customWidth="1"/>
    <col min="15365" max="15368" width="4.140625" style="12" customWidth="1"/>
    <col min="15369" max="15369" width="7.28515625" style="12" customWidth="1"/>
    <col min="15370" max="15370" width="9.140625" style="12"/>
    <col min="15371" max="15374" width="11.7109375" style="12" customWidth="1"/>
    <col min="15375" max="15616" width="9.140625" style="12"/>
    <col min="15617" max="15617" width="7.42578125" style="12" customWidth="1"/>
    <col min="15618" max="15619" width="6.85546875" style="12" customWidth="1"/>
    <col min="15620" max="15620" width="6.42578125" style="12" customWidth="1"/>
    <col min="15621" max="15624" width="4.140625" style="12" customWidth="1"/>
    <col min="15625" max="15625" width="7.28515625" style="12" customWidth="1"/>
    <col min="15626" max="15626" width="9.140625" style="12"/>
    <col min="15627" max="15630" width="11.7109375" style="12" customWidth="1"/>
    <col min="15631" max="15872" width="9.140625" style="12"/>
    <col min="15873" max="15873" width="7.42578125" style="12" customWidth="1"/>
    <col min="15874" max="15875" width="6.85546875" style="12" customWidth="1"/>
    <col min="15876" max="15876" width="6.42578125" style="12" customWidth="1"/>
    <col min="15877" max="15880" width="4.140625" style="12" customWidth="1"/>
    <col min="15881" max="15881" width="7.28515625" style="12" customWidth="1"/>
    <col min="15882" max="15882" width="9.140625" style="12"/>
    <col min="15883" max="15886" width="11.7109375" style="12" customWidth="1"/>
    <col min="15887" max="16128" width="9.140625" style="12"/>
    <col min="16129" max="16129" width="7.42578125" style="12" customWidth="1"/>
    <col min="16130" max="16131" width="6.85546875" style="12" customWidth="1"/>
    <col min="16132" max="16132" width="6.42578125" style="12" customWidth="1"/>
    <col min="16133" max="16136" width="4.140625" style="12" customWidth="1"/>
    <col min="16137" max="16137" width="7.28515625" style="12" customWidth="1"/>
    <col min="16138" max="16138" width="9.140625" style="12"/>
    <col min="16139" max="16142" width="11.7109375" style="12" customWidth="1"/>
    <col min="16143" max="16384" width="9.140625" style="12"/>
  </cols>
  <sheetData>
    <row r="1" spans="1:14" ht="25.5" customHeight="1" x14ac:dyDescent="0.25">
      <c r="A1" s="24"/>
      <c r="B1" s="25"/>
      <c r="C1" s="25"/>
      <c r="D1" s="25"/>
      <c r="E1" s="25"/>
      <c r="F1" s="25"/>
      <c r="G1" s="25"/>
      <c r="H1" s="25"/>
      <c r="I1" s="25"/>
      <c r="J1" s="25"/>
      <c r="K1" s="25"/>
      <c r="L1" s="25"/>
      <c r="M1" s="25"/>
      <c r="N1" s="26"/>
    </row>
    <row r="2" spans="1:14" ht="45" customHeight="1" thickBot="1" x14ac:dyDescent="0.3">
      <c r="A2" s="27"/>
      <c r="B2" s="28"/>
      <c r="C2" s="28"/>
      <c r="D2" s="28"/>
      <c r="E2" s="28"/>
      <c r="F2" s="28"/>
      <c r="G2" s="28"/>
      <c r="H2" s="28"/>
      <c r="I2" s="28"/>
      <c r="J2" s="28"/>
      <c r="K2" s="28"/>
      <c r="L2" s="28"/>
      <c r="M2" s="28"/>
      <c r="N2" s="29"/>
    </row>
    <row r="3" spans="1:14" ht="25.5" customHeight="1" thickBot="1" x14ac:dyDescent="0.3">
      <c r="A3" s="30" t="s">
        <v>59</v>
      </c>
      <c r="B3" s="31"/>
      <c r="C3" s="31"/>
      <c r="D3" s="31"/>
      <c r="E3" s="31"/>
      <c r="F3" s="31"/>
      <c r="G3" s="31"/>
      <c r="H3" s="31"/>
      <c r="I3" s="31"/>
      <c r="J3" s="31"/>
      <c r="K3" s="31"/>
      <c r="L3" s="31"/>
      <c r="M3" s="31"/>
      <c r="N3" s="32"/>
    </row>
    <row r="4" spans="1:14" ht="25.5" customHeight="1" x14ac:dyDescent="0.25">
      <c r="A4" s="33" t="s">
        <v>1</v>
      </c>
      <c r="B4" s="34"/>
      <c r="C4" s="34"/>
      <c r="D4" s="34"/>
      <c r="E4" s="34"/>
      <c r="F4" s="34"/>
      <c r="G4" s="34"/>
      <c r="H4" s="34"/>
      <c r="I4" s="35"/>
      <c r="J4" s="36" t="s">
        <v>60</v>
      </c>
      <c r="K4" s="37"/>
      <c r="L4" s="37"/>
      <c r="M4" s="37"/>
      <c r="N4" s="38"/>
    </row>
    <row r="5" spans="1:14" ht="19.5" customHeight="1" thickBot="1" x14ac:dyDescent="0.3">
      <c r="A5" s="39" t="str">
        <f>COCA!A6</f>
        <v>DGAC-DTIC-2026-0619-M</v>
      </c>
      <c r="B5" s="40"/>
      <c r="C5" s="40"/>
      <c r="D5" s="40"/>
      <c r="E5" s="40"/>
      <c r="F5" s="40"/>
      <c r="G5" s="40"/>
      <c r="H5" s="40"/>
      <c r="I5" s="41"/>
      <c r="J5" s="42">
        <v>46286</v>
      </c>
      <c r="K5" s="43"/>
      <c r="L5" s="43"/>
      <c r="M5" s="43"/>
      <c r="N5" s="44"/>
    </row>
    <row r="6" spans="1:14" ht="25.5" customHeight="1" thickBot="1" x14ac:dyDescent="0.3">
      <c r="A6" s="45" t="s">
        <v>8</v>
      </c>
      <c r="B6" s="46"/>
      <c r="C6" s="46"/>
      <c r="D6" s="46"/>
      <c r="E6" s="46"/>
      <c r="F6" s="46"/>
      <c r="G6" s="46"/>
      <c r="H6" s="46"/>
      <c r="I6" s="46"/>
      <c r="J6" s="46"/>
      <c r="K6" s="46"/>
      <c r="L6" s="46"/>
      <c r="M6" s="46"/>
      <c r="N6" s="47"/>
    </row>
    <row r="7" spans="1:14" ht="16.5" customHeight="1" x14ac:dyDescent="0.25">
      <c r="A7" s="48" t="s">
        <v>9</v>
      </c>
      <c r="B7" s="49"/>
      <c r="C7" s="49"/>
      <c r="D7" s="49"/>
      <c r="E7" s="49"/>
      <c r="F7" s="49"/>
      <c r="G7" s="49"/>
      <c r="H7" s="49"/>
      <c r="I7" s="49"/>
      <c r="J7" s="50" t="s">
        <v>10</v>
      </c>
      <c r="K7" s="50"/>
      <c r="L7" s="50"/>
      <c r="M7" s="50"/>
      <c r="N7" s="51"/>
    </row>
    <row r="8" spans="1:14" ht="25.5" customHeight="1" x14ac:dyDescent="0.25">
      <c r="A8" s="52" t="s">
        <v>93</v>
      </c>
      <c r="B8" s="53"/>
      <c r="C8" s="53"/>
      <c r="D8" s="53"/>
      <c r="E8" s="53"/>
      <c r="F8" s="53"/>
      <c r="G8" s="53"/>
      <c r="H8" s="53"/>
      <c r="I8" s="53"/>
      <c r="J8" s="53" t="s">
        <v>94</v>
      </c>
      <c r="K8" s="53"/>
      <c r="L8" s="53"/>
      <c r="M8" s="53"/>
      <c r="N8" s="54"/>
    </row>
    <row r="9" spans="1:14" ht="20.25" customHeight="1" x14ac:dyDescent="0.25">
      <c r="A9" s="55" t="s">
        <v>11</v>
      </c>
      <c r="B9" s="56"/>
      <c r="C9" s="56"/>
      <c r="D9" s="56"/>
      <c r="E9" s="56"/>
      <c r="F9" s="56"/>
      <c r="G9" s="56"/>
      <c r="H9" s="56"/>
      <c r="I9" s="56"/>
      <c r="J9" s="56" t="s">
        <v>61</v>
      </c>
      <c r="K9" s="56"/>
      <c r="L9" s="56"/>
      <c r="M9" s="56"/>
      <c r="N9" s="57"/>
    </row>
    <row r="10" spans="1:14" ht="19.5" customHeight="1" x14ac:dyDescent="0.25">
      <c r="A10" s="58" t="s">
        <v>95</v>
      </c>
      <c r="B10" s="59"/>
      <c r="C10" s="59"/>
      <c r="D10" s="59"/>
      <c r="E10" s="59"/>
      <c r="F10" s="59"/>
      <c r="G10" s="59"/>
      <c r="H10" s="59"/>
      <c r="I10" s="59"/>
      <c r="J10" s="59" t="s">
        <v>62</v>
      </c>
      <c r="K10" s="59"/>
      <c r="L10" s="59"/>
      <c r="M10" s="59"/>
      <c r="N10" s="60"/>
    </row>
    <row r="11" spans="1:14" ht="39" customHeight="1" thickBot="1" x14ac:dyDescent="0.3">
      <c r="A11" s="61" t="s">
        <v>96</v>
      </c>
      <c r="B11" s="62"/>
      <c r="C11" s="62"/>
      <c r="D11" s="62"/>
      <c r="E11" s="62"/>
      <c r="F11" s="62"/>
      <c r="G11" s="62"/>
      <c r="H11" s="62"/>
      <c r="I11" s="62"/>
      <c r="J11" s="62"/>
      <c r="K11" s="62"/>
      <c r="L11" s="62"/>
      <c r="M11" s="62"/>
      <c r="N11" s="63"/>
    </row>
    <row r="12" spans="1:14" ht="25.5" customHeight="1" thickBot="1" x14ac:dyDescent="0.3">
      <c r="A12" s="64" t="s">
        <v>63</v>
      </c>
      <c r="B12" s="65"/>
      <c r="C12" s="65"/>
      <c r="D12" s="65"/>
      <c r="E12" s="65"/>
      <c r="F12" s="65"/>
      <c r="G12" s="65"/>
      <c r="H12" s="65"/>
      <c r="I12" s="65"/>
      <c r="J12" s="65"/>
      <c r="K12" s="65"/>
      <c r="L12" s="65"/>
      <c r="M12" s="65"/>
      <c r="N12" s="66"/>
    </row>
    <row r="13" spans="1:14" ht="25.5" customHeight="1" x14ac:dyDescent="0.25">
      <c r="A13" s="67" t="str">
        <f>COCA!A18</f>
        <v>Realizar el mantenimiento preventivo y correctivo, garantizando así la continuídad y seguridad de los servicios informáticos del Aeropuerto Francisco de Orellana.</v>
      </c>
      <c r="B13" s="68"/>
      <c r="C13" s="68"/>
      <c r="D13" s="68"/>
      <c r="E13" s="68"/>
      <c r="F13" s="68"/>
      <c r="G13" s="68"/>
      <c r="H13" s="68"/>
      <c r="I13" s="68"/>
      <c r="J13" s="68"/>
      <c r="K13" s="68"/>
      <c r="L13" s="68"/>
      <c r="M13" s="68"/>
      <c r="N13" s="69"/>
    </row>
    <row r="14" spans="1:14" ht="25.5" customHeight="1" thickBot="1" x14ac:dyDescent="0.3">
      <c r="A14" s="70"/>
      <c r="B14" s="71"/>
      <c r="C14" s="71"/>
      <c r="D14" s="71"/>
      <c r="E14" s="71"/>
      <c r="F14" s="71"/>
      <c r="G14" s="71"/>
      <c r="H14" s="71"/>
      <c r="I14" s="71"/>
      <c r="J14" s="71"/>
      <c r="K14" s="71"/>
      <c r="L14" s="71"/>
      <c r="M14" s="71"/>
      <c r="N14" s="72"/>
    </row>
    <row r="15" spans="1:14" ht="25.5" customHeight="1" thickBot="1" x14ac:dyDescent="0.3">
      <c r="A15" s="45" t="s">
        <v>64</v>
      </c>
      <c r="B15" s="46"/>
      <c r="C15" s="46"/>
      <c r="D15" s="46"/>
      <c r="E15" s="46"/>
      <c r="F15" s="46"/>
      <c r="G15" s="46"/>
      <c r="H15" s="46"/>
      <c r="I15" s="46"/>
      <c r="J15" s="46"/>
      <c r="K15" s="46"/>
      <c r="L15" s="46"/>
      <c r="M15" s="46"/>
      <c r="N15" s="47"/>
    </row>
    <row r="16" spans="1:14" ht="25.5" customHeight="1" thickBot="1" x14ac:dyDescent="0.3">
      <c r="A16" s="13" t="s">
        <v>65</v>
      </c>
      <c r="B16" s="73" t="s">
        <v>66</v>
      </c>
      <c r="C16" s="74"/>
      <c r="D16" s="74"/>
      <c r="E16" s="73" t="s">
        <v>67</v>
      </c>
      <c r="F16" s="74"/>
      <c r="G16" s="74"/>
      <c r="H16" s="74"/>
      <c r="I16" s="74"/>
      <c r="J16" s="74"/>
      <c r="K16" s="74"/>
      <c r="L16" s="75"/>
      <c r="M16" s="73" t="s">
        <v>68</v>
      </c>
      <c r="N16" s="75"/>
    </row>
    <row r="17" spans="1:14" ht="15" customHeight="1" x14ac:dyDescent="0.25">
      <c r="A17" s="14">
        <v>1</v>
      </c>
      <c r="B17" s="76" t="s">
        <v>97</v>
      </c>
      <c r="C17" s="76"/>
      <c r="D17" s="76"/>
      <c r="E17" s="77" t="s">
        <v>92</v>
      </c>
      <c r="F17" s="77"/>
      <c r="G17" s="77"/>
      <c r="H17" s="77"/>
      <c r="I17" s="77"/>
      <c r="J17" s="77"/>
      <c r="K17" s="77"/>
      <c r="L17" s="77"/>
      <c r="M17" s="78">
        <v>10</v>
      </c>
      <c r="N17" s="78"/>
    </row>
    <row r="18" spans="1:14" ht="15" customHeight="1" x14ac:dyDescent="0.25">
      <c r="A18" s="14">
        <v>2</v>
      </c>
      <c r="B18" s="79" t="s">
        <v>98</v>
      </c>
      <c r="C18" s="79"/>
      <c r="D18" s="79"/>
      <c r="E18" s="80" t="s">
        <v>89</v>
      </c>
      <c r="F18" s="81"/>
      <c r="G18" s="81"/>
      <c r="H18" s="81"/>
      <c r="I18" s="81"/>
      <c r="J18" s="81"/>
      <c r="K18" s="81"/>
      <c r="L18" s="82"/>
      <c r="M18" s="78">
        <v>20</v>
      </c>
      <c r="N18" s="78"/>
    </row>
    <row r="19" spans="1:14" ht="15" customHeight="1" x14ac:dyDescent="0.25">
      <c r="A19" s="14">
        <v>3</v>
      </c>
      <c r="B19" s="79" t="s">
        <v>99</v>
      </c>
      <c r="C19" s="79"/>
      <c r="D19" s="79"/>
      <c r="E19" s="80" t="s">
        <v>90</v>
      </c>
      <c r="F19" s="81"/>
      <c r="G19" s="81"/>
      <c r="H19" s="81"/>
      <c r="I19" s="81"/>
      <c r="J19" s="81"/>
      <c r="K19" s="81"/>
      <c r="L19" s="82"/>
      <c r="M19" s="78">
        <v>60</v>
      </c>
      <c r="N19" s="78"/>
    </row>
    <row r="20" spans="1:14" ht="15" customHeight="1" x14ac:dyDescent="0.25">
      <c r="A20" s="14">
        <v>4</v>
      </c>
      <c r="B20" s="79" t="s">
        <v>100</v>
      </c>
      <c r="C20" s="79"/>
      <c r="D20" s="79"/>
      <c r="E20" s="80" t="s">
        <v>91</v>
      </c>
      <c r="F20" s="81"/>
      <c r="G20" s="81"/>
      <c r="H20" s="81"/>
      <c r="I20" s="81"/>
      <c r="J20" s="81"/>
      <c r="K20" s="81"/>
      <c r="L20" s="82"/>
      <c r="M20" s="78">
        <v>140</v>
      </c>
      <c r="N20" s="78"/>
    </row>
    <row r="21" spans="1:14" ht="15" customHeight="1" x14ac:dyDescent="0.25">
      <c r="A21" s="14">
        <v>5</v>
      </c>
      <c r="B21" s="83"/>
      <c r="C21" s="84"/>
      <c r="D21" s="85"/>
      <c r="E21" s="80"/>
      <c r="F21" s="81"/>
      <c r="G21" s="81"/>
      <c r="H21" s="81"/>
      <c r="I21" s="81"/>
      <c r="J21" s="81"/>
      <c r="K21" s="81"/>
      <c r="L21" s="82"/>
      <c r="M21" s="78"/>
      <c r="N21" s="78"/>
    </row>
    <row r="22" spans="1:14" ht="15" customHeight="1" x14ac:dyDescent="0.25">
      <c r="A22" s="14">
        <v>6</v>
      </c>
      <c r="B22" s="83"/>
      <c r="C22" s="84"/>
      <c r="D22" s="85"/>
      <c r="E22" s="80"/>
      <c r="F22" s="81"/>
      <c r="G22" s="81"/>
      <c r="H22" s="81"/>
      <c r="I22" s="81"/>
      <c r="J22" s="81"/>
      <c r="K22" s="81"/>
      <c r="L22" s="82"/>
      <c r="M22" s="78"/>
      <c r="N22" s="78"/>
    </row>
    <row r="23" spans="1:14" ht="15" customHeight="1" x14ac:dyDescent="0.25">
      <c r="A23" s="14">
        <v>7</v>
      </c>
      <c r="B23" s="15"/>
      <c r="C23" s="16"/>
      <c r="D23" s="17"/>
      <c r="E23" s="80"/>
      <c r="F23" s="81"/>
      <c r="G23" s="81"/>
      <c r="H23" s="81"/>
      <c r="I23" s="81"/>
      <c r="J23" s="81"/>
      <c r="K23" s="81"/>
      <c r="L23" s="82"/>
      <c r="M23" s="78"/>
      <c r="N23" s="78"/>
    </row>
    <row r="24" spans="1:14" ht="15" customHeight="1" x14ac:dyDescent="0.25">
      <c r="A24" s="14">
        <v>8</v>
      </c>
      <c r="B24" s="15"/>
      <c r="C24" s="16"/>
      <c r="D24" s="17"/>
      <c r="E24" s="80"/>
      <c r="F24" s="81"/>
      <c r="G24" s="81"/>
      <c r="H24" s="81"/>
      <c r="I24" s="81"/>
      <c r="J24" s="81"/>
      <c r="K24" s="81"/>
      <c r="L24" s="82"/>
      <c r="M24" s="91"/>
      <c r="N24" s="92"/>
    </row>
    <row r="25" spans="1:14" ht="15" customHeight="1" x14ac:dyDescent="0.25">
      <c r="A25" s="14">
        <v>9</v>
      </c>
      <c r="B25" s="15"/>
      <c r="C25" s="16"/>
      <c r="D25" s="17"/>
      <c r="E25" s="80"/>
      <c r="F25" s="81"/>
      <c r="G25" s="81"/>
      <c r="H25" s="81"/>
      <c r="I25" s="81"/>
      <c r="J25" s="81"/>
      <c r="K25" s="81"/>
      <c r="L25" s="82"/>
      <c r="M25" s="93"/>
      <c r="N25" s="93"/>
    </row>
    <row r="26" spans="1:14" ht="15" customHeight="1" thickBot="1" x14ac:dyDescent="0.3">
      <c r="A26" s="14">
        <v>10</v>
      </c>
      <c r="B26" s="83"/>
      <c r="C26" s="84"/>
      <c r="D26" s="85"/>
      <c r="E26" s="80"/>
      <c r="F26" s="81"/>
      <c r="G26" s="81"/>
      <c r="H26" s="81"/>
      <c r="I26" s="81"/>
      <c r="J26" s="81"/>
      <c r="K26" s="81"/>
      <c r="L26" s="82"/>
      <c r="M26" s="91"/>
      <c r="N26" s="92"/>
    </row>
    <row r="27" spans="1:14" ht="25.5" customHeight="1" thickBot="1" x14ac:dyDescent="0.3">
      <c r="A27" s="86" t="s">
        <v>69</v>
      </c>
      <c r="B27" s="87"/>
      <c r="C27" s="87"/>
      <c r="D27" s="87"/>
      <c r="E27" s="87"/>
      <c r="F27" s="87"/>
      <c r="G27" s="87"/>
      <c r="H27" s="87"/>
      <c r="I27" s="87"/>
      <c r="J27" s="87"/>
      <c r="K27" s="87"/>
      <c r="L27" s="88"/>
      <c r="M27" s="89">
        <f>SUM(M17:N26)</f>
        <v>230</v>
      </c>
      <c r="N27" s="90"/>
    </row>
    <row r="28" spans="1:14" ht="25.5" hidden="1" customHeight="1" x14ac:dyDescent="0.25">
      <c r="A28" s="94" t="s">
        <v>70</v>
      </c>
      <c r="B28" s="95"/>
      <c r="C28" s="95"/>
      <c r="D28" s="95"/>
      <c r="E28" s="95"/>
      <c r="F28" s="95"/>
      <c r="G28" s="95"/>
      <c r="H28" s="95"/>
      <c r="I28" s="95"/>
      <c r="J28" s="95"/>
      <c r="K28" s="95"/>
      <c r="L28" s="96"/>
      <c r="M28" s="97">
        <f>1200*0.7</f>
        <v>840</v>
      </c>
      <c r="N28" s="98"/>
    </row>
    <row r="29" spans="1:14" ht="25.5" hidden="1" customHeight="1" x14ac:dyDescent="0.25">
      <c r="A29" s="99" t="s">
        <v>71</v>
      </c>
      <c r="B29" s="100"/>
      <c r="C29" s="100"/>
      <c r="D29" s="100"/>
      <c r="E29" s="100"/>
      <c r="F29" s="100"/>
      <c r="G29" s="100"/>
      <c r="H29" s="100"/>
      <c r="I29" s="100"/>
      <c r="J29" s="100"/>
      <c r="K29" s="100"/>
      <c r="L29" s="101"/>
      <c r="M29" s="102">
        <f>M28-M27</f>
        <v>610</v>
      </c>
      <c r="N29" s="103"/>
    </row>
    <row r="30" spans="1:14" ht="11.25" customHeight="1" x14ac:dyDescent="0.25">
      <c r="A30" s="104" t="s">
        <v>72</v>
      </c>
      <c r="B30" s="105"/>
      <c r="C30" s="106">
        <v>46279</v>
      </c>
      <c r="D30" s="107"/>
      <c r="E30" s="108"/>
      <c r="F30" s="112">
        <v>46283</v>
      </c>
      <c r="G30" s="113"/>
      <c r="H30" s="113"/>
      <c r="I30" s="114"/>
      <c r="J30" s="118" t="s">
        <v>73</v>
      </c>
      <c r="K30" s="119"/>
      <c r="L30" s="119"/>
      <c r="M30" s="119"/>
      <c r="N30" s="120"/>
    </row>
    <row r="31" spans="1:14" ht="11.25" customHeight="1" thickBot="1" x14ac:dyDescent="0.3">
      <c r="A31" s="124" t="s">
        <v>74</v>
      </c>
      <c r="B31" s="125"/>
      <c r="C31" s="109"/>
      <c r="D31" s="110"/>
      <c r="E31" s="111"/>
      <c r="F31" s="115"/>
      <c r="G31" s="116"/>
      <c r="H31" s="116"/>
      <c r="I31" s="117"/>
      <c r="J31" s="121"/>
      <c r="K31" s="122"/>
      <c r="L31" s="122"/>
      <c r="M31" s="122"/>
      <c r="N31" s="123"/>
    </row>
    <row r="32" spans="1:14" ht="11.25" customHeight="1" x14ac:dyDescent="0.25">
      <c r="A32" s="126" t="s">
        <v>75</v>
      </c>
      <c r="B32" s="38"/>
      <c r="C32" s="127">
        <v>0.41666666666666669</v>
      </c>
      <c r="D32" s="127"/>
      <c r="E32" s="127"/>
      <c r="F32" s="129">
        <v>0.58333333333333337</v>
      </c>
      <c r="G32" s="128"/>
      <c r="H32" s="128"/>
      <c r="I32" s="128"/>
      <c r="J32" s="121"/>
      <c r="K32" s="122"/>
      <c r="L32" s="122"/>
      <c r="M32" s="122"/>
      <c r="N32" s="123"/>
    </row>
    <row r="33" spans="1:14" ht="11.25" customHeight="1" thickBot="1" x14ac:dyDescent="0.3">
      <c r="A33" s="130" t="s">
        <v>76</v>
      </c>
      <c r="B33" s="131"/>
      <c r="C33" s="128"/>
      <c r="D33" s="128"/>
      <c r="E33" s="128"/>
      <c r="F33" s="129"/>
      <c r="G33" s="128"/>
      <c r="H33" s="128"/>
      <c r="I33" s="128"/>
      <c r="J33" s="121"/>
      <c r="K33" s="122"/>
      <c r="L33" s="122"/>
      <c r="M33" s="122"/>
      <c r="N33" s="123"/>
    </row>
    <row r="34" spans="1:14" ht="17.25" customHeight="1" thickBot="1" x14ac:dyDescent="0.3">
      <c r="A34" s="73" t="s">
        <v>34</v>
      </c>
      <c r="B34" s="74"/>
      <c r="C34" s="74"/>
      <c r="D34" s="74"/>
      <c r="E34" s="74"/>
      <c r="F34" s="74"/>
      <c r="G34" s="74"/>
      <c r="H34" s="74"/>
      <c r="I34" s="74"/>
      <c r="J34" s="74"/>
      <c r="K34" s="74"/>
      <c r="L34" s="74"/>
      <c r="M34" s="74"/>
      <c r="N34" s="75"/>
    </row>
    <row r="35" spans="1:14" ht="11.25" customHeight="1" x14ac:dyDescent="0.25">
      <c r="A35" s="132" t="s">
        <v>77</v>
      </c>
      <c r="B35" s="133"/>
      <c r="C35" s="133" t="s">
        <v>78</v>
      </c>
      <c r="D35" s="133"/>
      <c r="E35" s="133"/>
      <c r="F35" s="133"/>
      <c r="G35" s="133" t="s">
        <v>19</v>
      </c>
      <c r="H35" s="133"/>
      <c r="I35" s="133"/>
      <c r="J35" s="133"/>
      <c r="K35" s="133" t="s">
        <v>20</v>
      </c>
      <c r="L35" s="133"/>
      <c r="M35" s="133" t="s">
        <v>21</v>
      </c>
      <c r="N35" s="136"/>
    </row>
    <row r="36" spans="1:14" ht="11.25" customHeight="1" x14ac:dyDescent="0.25">
      <c r="A36" s="134"/>
      <c r="B36" s="135"/>
      <c r="C36" s="135"/>
      <c r="D36" s="135"/>
      <c r="E36" s="135"/>
      <c r="F36" s="135"/>
      <c r="G36" s="135"/>
      <c r="H36" s="135"/>
      <c r="I36" s="135"/>
      <c r="J36" s="135"/>
      <c r="K36" s="135"/>
      <c r="L36" s="135"/>
      <c r="M36" s="135"/>
      <c r="N36" s="137"/>
    </row>
    <row r="37" spans="1:14" ht="15" customHeight="1" x14ac:dyDescent="0.25">
      <c r="A37" s="134"/>
      <c r="B37" s="135"/>
      <c r="C37" s="135"/>
      <c r="D37" s="135"/>
      <c r="E37" s="135"/>
      <c r="F37" s="135"/>
      <c r="G37" s="135"/>
      <c r="H37" s="135"/>
      <c r="I37" s="135"/>
      <c r="J37" s="135"/>
      <c r="K37" s="18" t="s">
        <v>79</v>
      </c>
      <c r="L37" s="18" t="s">
        <v>75</v>
      </c>
      <c r="M37" s="18" t="s">
        <v>79</v>
      </c>
      <c r="N37" s="19" t="s">
        <v>75</v>
      </c>
    </row>
    <row r="38" spans="1:14" ht="15" customHeight="1" x14ac:dyDescent="0.25">
      <c r="A38" s="134"/>
      <c r="B38" s="135"/>
      <c r="C38" s="135"/>
      <c r="D38" s="135"/>
      <c r="E38" s="135"/>
      <c r="F38" s="135"/>
      <c r="G38" s="135"/>
      <c r="H38" s="135"/>
      <c r="I38" s="135"/>
      <c r="J38" s="135"/>
      <c r="K38" s="18" t="s">
        <v>80</v>
      </c>
      <c r="L38" s="18" t="s">
        <v>81</v>
      </c>
      <c r="M38" s="18" t="s">
        <v>80</v>
      </c>
      <c r="N38" s="19" t="s">
        <v>81</v>
      </c>
    </row>
    <row r="39" spans="1:14" ht="21.75" customHeight="1" x14ac:dyDescent="0.25">
      <c r="A39" s="138" t="s">
        <v>22</v>
      </c>
      <c r="B39" s="139"/>
      <c r="C39" s="140" t="s">
        <v>53</v>
      </c>
      <c r="D39" s="141"/>
      <c r="E39" s="141"/>
      <c r="F39" s="142"/>
      <c r="G39" s="143" t="s">
        <v>54</v>
      </c>
      <c r="H39" s="144"/>
      <c r="I39" s="144"/>
      <c r="J39" s="139"/>
      <c r="K39" s="20">
        <v>46279</v>
      </c>
      <c r="L39" s="21">
        <v>0.41666666666666669</v>
      </c>
      <c r="M39" s="20">
        <v>46279</v>
      </c>
      <c r="N39" s="22">
        <v>0.66666666666666663</v>
      </c>
    </row>
    <row r="40" spans="1:14" ht="21.75" customHeight="1" x14ac:dyDescent="0.25">
      <c r="A40" s="138" t="s">
        <v>22</v>
      </c>
      <c r="B40" s="139"/>
      <c r="C40" s="140" t="s">
        <v>53</v>
      </c>
      <c r="D40" s="141"/>
      <c r="E40" s="141"/>
      <c r="F40" s="142"/>
      <c r="G40" s="143" t="s">
        <v>55</v>
      </c>
      <c r="H40" s="144"/>
      <c r="I40" s="144"/>
      <c r="J40" s="139"/>
      <c r="K40" s="20">
        <v>46283</v>
      </c>
      <c r="L40" s="21">
        <v>0.29166666666666669</v>
      </c>
      <c r="M40" s="20">
        <v>46283</v>
      </c>
      <c r="N40" s="22">
        <v>0.58333333333333337</v>
      </c>
    </row>
    <row r="41" spans="1:14" ht="21.75" customHeight="1" x14ac:dyDescent="0.25">
      <c r="A41" s="138"/>
      <c r="B41" s="139"/>
      <c r="C41" s="140"/>
      <c r="D41" s="141"/>
      <c r="E41" s="141"/>
      <c r="F41" s="142"/>
      <c r="G41" s="143"/>
      <c r="H41" s="144"/>
      <c r="I41" s="144"/>
      <c r="J41" s="139"/>
      <c r="K41" s="20"/>
      <c r="L41" s="21"/>
      <c r="M41" s="20"/>
      <c r="N41" s="22"/>
    </row>
    <row r="42" spans="1:14" ht="25.5" customHeight="1" thickBot="1" x14ac:dyDescent="0.3">
      <c r="A42" s="147" t="s">
        <v>82</v>
      </c>
      <c r="B42" s="148"/>
      <c r="C42" s="148"/>
      <c r="D42" s="148"/>
      <c r="E42" s="148"/>
      <c r="F42" s="148"/>
      <c r="G42" s="148"/>
      <c r="H42" s="148"/>
      <c r="I42" s="148"/>
      <c r="J42" s="148"/>
      <c r="K42" s="148"/>
      <c r="L42" s="148"/>
      <c r="M42" s="148"/>
      <c r="N42" s="149"/>
    </row>
    <row r="43" spans="1:14" ht="25.5" customHeight="1" thickBot="1" x14ac:dyDescent="0.3">
      <c r="A43" s="150" t="s">
        <v>83</v>
      </c>
      <c r="B43" s="151"/>
      <c r="C43" s="151"/>
      <c r="D43" s="151"/>
      <c r="E43" s="151"/>
      <c r="F43" s="151"/>
      <c r="G43" s="151"/>
      <c r="H43" s="151"/>
      <c r="I43" s="151"/>
      <c r="J43" s="74"/>
      <c r="K43" s="74"/>
      <c r="L43" s="74"/>
      <c r="M43" s="74"/>
      <c r="N43" s="75"/>
    </row>
    <row r="44" spans="1:14" ht="25.5" customHeight="1" x14ac:dyDescent="0.25">
      <c r="A44" s="152" t="s">
        <v>84</v>
      </c>
      <c r="B44" s="153"/>
      <c r="C44" s="153"/>
      <c r="D44" s="153"/>
      <c r="E44" s="153"/>
      <c r="F44" s="153"/>
      <c r="G44" s="153"/>
      <c r="H44" s="153"/>
      <c r="I44" s="154"/>
      <c r="J44" s="155" t="s">
        <v>85</v>
      </c>
      <c r="K44" s="155"/>
      <c r="L44" s="155"/>
      <c r="M44" s="155"/>
      <c r="N44" s="156"/>
    </row>
    <row r="45" spans="1:14" ht="33" customHeight="1" x14ac:dyDescent="0.25">
      <c r="A45" s="130"/>
      <c r="B45" s="157"/>
      <c r="C45" s="157"/>
      <c r="D45" s="157"/>
      <c r="E45" s="157"/>
      <c r="F45" s="157"/>
      <c r="G45" s="157"/>
      <c r="H45" s="157"/>
      <c r="I45" s="131"/>
      <c r="J45" s="122" t="s">
        <v>86</v>
      </c>
      <c r="K45" s="122"/>
      <c r="L45" s="122"/>
      <c r="M45" s="122"/>
      <c r="N45" s="123"/>
    </row>
    <row r="46" spans="1:14" ht="18" customHeight="1" x14ac:dyDescent="0.25">
      <c r="A46" s="158" t="s">
        <v>101</v>
      </c>
      <c r="B46" s="159"/>
      <c r="C46" s="159"/>
      <c r="D46" s="159"/>
      <c r="E46" s="159"/>
      <c r="F46" s="159"/>
      <c r="G46" s="159"/>
      <c r="H46" s="159"/>
      <c r="I46" s="160"/>
      <c r="J46" s="122"/>
      <c r="K46" s="122"/>
      <c r="L46" s="122"/>
      <c r="M46" s="122"/>
      <c r="N46" s="123"/>
    </row>
    <row r="47" spans="1:14" ht="18" customHeight="1" x14ac:dyDescent="0.25">
      <c r="A47" s="161" t="s">
        <v>87</v>
      </c>
      <c r="B47" s="162"/>
      <c r="C47" s="162"/>
      <c r="D47" s="162"/>
      <c r="E47" s="162"/>
      <c r="F47" s="162"/>
      <c r="G47" s="162"/>
      <c r="H47" s="162"/>
      <c r="I47" s="163"/>
      <c r="J47" s="122"/>
      <c r="K47" s="122"/>
      <c r="L47" s="122"/>
      <c r="M47" s="122"/>
      <c r="N47" s="123"/>
    </row>
    <row r="48" spans="1:14" ht="18" customHeight="1" thickBot="1" x14ac:dyDescent="0.3">
      <c r="A48" s="164" t="s">
        <v>88</v>
      </c>
      <c r="B48" s="165"/>
      <c r="C48" s="165"/>
      <c r="D48" s="165"/>
      <c r="E48" s="165"/>
      <c r="F48" s="165"/>
      <c r="G48" s="165"/>
      <c r="H48" s="165"/>
      <c r="I48" s="166"/>
      <c r="J48" s="122"/>
      <c r="K48" s="122"/>
      <c r="L48" s="122"/>
      <c r="M48" s="122"/>
      <c r="N48" s="123"/>
    </row>
    <row r="49" spans="1:14" ht="25.5" customHeight="1" thickBot="1" x14ac:dyDescent="0.3">
      <c r="A49" s="145" t="s">
        <v>31</v>
      </c>
      <c r="B49" s="146"/>
      <c r="C49" s="146"/>
      <c r="D49" s="146"/>
      <c r="E49" s="146"/>
      <c r="F49" s="146"/>
      <c r="G49" s="146"/>
      <c r="H49" s="146"/>
      <c r="I49" s="146"/>
      <c r="J49" s="74"/>
      <c r="K49" s="74"/>
      <c r="L49" s="74"/>
      <c r="M49" s="74"/>
      <c r="N49" s="75"/>
    </row>
    <row r="50" spans="1:14" ht="25.5" customHeight="1" x14ac:dyDescent="0.25">
      <c r="A50" s="152"/>
      <c r="B50" s="153"/>
      <c r="C50" s="153"/>
      <c r="D50" s="153"/>
      <c r="E50" s="153"/>
      <c r="F50" s="153"/>
      <c r="G50" s="153"/>
      <c r="H50" s="153"/>
      <c r="I50" s="154"/>
      <c r="J50" s="173" t="s">
        <v>33</v>
      </c>
      <c r="K50" s="173"/>
      <c r="L50" s="173"/>
      <c r="M50" s="173"/>
      <c r="N50" s="174"/>
    </row>
    <row r="51" spans="1:14" ht="48.75" customHeight="1" x14ac:dyDescent="0.25">
      <c r="A51" s="175"/>
      <c r="B51" s="176"/>
      <c r="C51" s="176"/>
      <c r="D51" s="176"/>
      <c r="E51" s="176"/>
      <c r="F51" s="176"/>
      <c r="G51" s="176"/>
      <c r="H51" s="176"/>
      <c r="I51" s="177"/>
      <c r="J51" s="176"/>
      <c r="K51" s="176"/>
      <c r="L51" s="176"/>
      <c r="M51" s="176"/>
      <c r="N51" s="177"/>
    </row>
    <row r="52" spans="1:14" ht="17.25" customHeight="1" x14ac:dyDescent="0.25">
      <c r="A52" s="178"/>
      <c r="B52" s="179"/>
      <c r="C52" s="179"/>
      <c r="D52" s="179"/>
      <c r="E52" s="179"/>
      <c r="F52" s="179"/>
      <c r="G52" s="179"/>
      <c r="H52" s="179"/>
      <c r="I52" s="180"/>
      <c r="J52" s="159" t="str">
        <f>[1]SOLICITUD!J43</f>
        <v>Ing. Alexander Guncay</v>
      </c>
      <c r="K52" s="159"/>
      <c r="L52" s="159"/>
      <c r="M52" s="159"/>
      <c r="N52" s="160"/>
    </row>
    <row r="53" spans="1:14" ht="17.25" customHeight="1" thickBot="1" x14ac:dyDescent="0.3">
      <c r="A53" s="167"/>
      <c r="B53" s="168"/>
      <c r="C53" s="168"/>
      <c r="D53" s="168"/>
      <c r="E53" s="168"/>
      <c r="F53" s="168"/>
      <c r="G53" s="168"/>
      <c r="H53" s="168"/>
      <c r="I53" s="169"/>
      <c r="J53" s="170" t="s">
        <v>102</v>
      </c>
      <c r="K53" s="170"/>
      <c r="L53" s="170"/>
      <c r="M53" s="170"/>
      <c r="N53" s="171"/>
    </row>
    <row r="54" spans="1:14" ht="25.5" customHeight="1" x14ac:dyDescent="0.25">
      <c r="A54" s="172"/>
      <c r="B54" s="172"/>
      <c r="C54" s="172"/>
      <c r="D54" s="172"/>
      <c r="E54" s="172"/>
      <c r="F54" s="172"/>
      <c r="G54" s="172"/>
      <c r="H54" s="172"/>
      <c r="I54" s="172"/>
    </row>
    <row r="55" spans="1:14" ht="25.5" customHeight="1" x14ac:dyDescent="0.25">
      <c r="J55" s="23"/>
    </row>
  </sheetData>
  <mergeCells count="98">
    <mergeCell ref="A53:I53"/>
    <mergeCell ref="J53:N53"/>
    <mergeCell ref="A54:I54"/>
    <mergeCell ref="A50:I50"/>
    <mergeCell ref="J50:N50"/>
    <mergeCell ref="A51:I51"/>
    <mergeCell ref="J51:N51"/>
    <mergeCell ref="A52:I52"/>
    <mergeCell ref="J52:N52"/>
    <mergeCell ref="A49:N49"/>
    <mergeCell ref="A41:B41"/>
    <mergeCell ref="C41:F41"/>
    <mergeCell ref="G41:J41"/>
    <mergeCell ref="A42:N42"/>
    <mergeCell ref="A43:N43"/>
    <mergeCell ref="A44:I44"/>
    <mergeCell ref="J44:N44"/>
    <mergeCell ref="A45:I45"/>
    <mergeCell ref="J45:N48"/>
    <mergeCell ref="A46:I46"/>
    <mergeCell ref="A47:I47"/>
    <mergeCell ref="A48:I48"/>
    <mergeCell ref="A39:B39"/>
    <mergeCell ref="C39:F39"/>
    <mergeCell ref="G39:J39"/>
    <mergeCell ref="A40:B40"/>
    <mergeCell ref="C40:F40"/>
    <mergeCell ref="G40:J40"/>
    <mergeCell ref="A34:N34"/>
    <mergeCell ref="A35:B38"/>
    <mergeCell ref="C35:F38"/>
    <mergeCell ref="G35:J38"/>
    <mergeCell ref="K35:L36"/>
    <mergeCell ref="M35:N36"/>
    <mergeCell ref="A28:L28"/>
    <mergeCell ref="M28:N28"/>
    <mergeCell ref="A29:L29"/>
    <mergeCell ref="M29:N29"/>
    <mergeCell ref="A30:B30"/>
    <mergeCell ref="C30:E31"/>
    <mergeCell ref="F30:I31"/>
    <mergeCell ref="J30:N33"/>
    <mergeCell ref="A31:B31"/>
    <mergeCell ref="A32:B32"/>
    <mergeCell ref="C32:E33"/>
    <mergeCell ref="F32:I33"/>
    <mergeCell ref="A33:B33"/>
    <mergeCell ref="A27:L27"/>
    <mergeCell ref="M27:N27"/>
    <mergeCell ref="B22:D22"/>
    <mergeCell ref="E22:L22"/>
    <mergeCell ref="M22:N22"/>
    <mergeCell ref="E23:L23"/>
    <mergeCell ref="M23:N23"/>
    <mergeCell ref="E24:L24"/>
    <mergeCell ref="M24:N24"/>
    <mergeCell ref="E25:L25"/>
    <mergeCell ref="M25:N25"/>
    <mergeCell ref="B26:D26"/>
    <mergeCell ref="E26:L26"/>
    <mergeCell ref="M26:N26"/>
    <mergeCell ref="B20:D20"/>
    <mergeCell ref="E20:L20"/>
    <mergeCell ref="M20:N20"/>
    <mergeCell ref="B21:D21"/>
    <mergeCell ref="E21:L21"/>
    <mergeCell ref="M21:N21"/>
    <mergeCell ref="B18:D18"/>
    <mergeCell ref="E18:L18"/>
    <mergeCell ref="M18:N18"/>
    <mergeCell ref="B19:D19"/>
    <mergeCell ref="E19:L19"/>
    <mergeCell ref="M19:N19"/>
    <mergeCell ref="B16:D16"/>
    <mergeCell ref="E16:L16"/>
    <mergeCell ref="M16:N16"/>
    <mergeCell ref="B17:D17"/>
    <mergeCell ref="E17:L17"/>
    <mergeCell ref="M17:N17"/>
    <mergeCell ref="A15:N15"/>
    <mergeCell ref="A6:N6"/>
    <mergeCell ref="A7:I7"/>
    <mergeCell ref="J7:N7"/>
    <mergeCell ref="A8:I8"/>
    <mergeCell ref="J8:N8"/>
    <mergeCell ref="A9:I9"/>
    <mergeCell ref="J9:N9"/>
    <mergeCell ref="A10:I10"/>
    <mergeCell ref="J10:N10"/>
    <mergeCell ref="A11:N11"/>
    <mergeCell ref="A12:N12"/>
    <mergeCell ref="A13:N14"/>
    <mergeCell ref="A1:N2"/>
    <mergeCell ref="A3:N3"/>
    <mergeCell ref="A4:I4"/>
    <mergeCell ref="J4:N4"/>
    <mergeCell ref="A5:I5"/>
    <mergeCell ref="J5:N5"/>
  </mergeCells>
  <printOptions horizontalCentered="1" verticalCentered="1"/>
  <pageMargins left="0" right="0" top="0.2" bottom="0.2" header="0" footer="0"/>
  <pageSetup paperSize="9" scale="76"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COCA</vt:lpstr>
      <vt:lpstr>INFORME</vt:lpstr>
      <vt:lpstr>COCA!Área_de_impresión</vt:lpstr>
      <vt:lpstr>INFORME!Print_Area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Fernanda Jumbo Cumbicos</dc:creator>
  <cp:lastModifiedBy>Marcelo Rafael Tejada Molina</cp:lastModifiedBy>
  <cp:lastPrinted>2026-09-21T19:58:27Z</cp:lastPrinted>
  <dcterms:created xsi:type="dcterms:W3CDTF">2021-07-19T13:42:55Z</dcterms:created>
  <dcterms:modified xsi:type="dcterms:W3CDTF">2026-09-22T15:29:48Z</dcterms:modified>
</cp:coreProperties>
</file>