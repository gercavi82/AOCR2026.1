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man.cajas\Downloads\Documentacion_AOCR_Segunda_Entrega_Completa\AOCR_documentacion_completa_v2\"/>
    </mc:Choice>
  </mc:AlternateContent>
  <bookViews>
    <workbookView xWindow="0" yWindow="0" windowWidth="28800" windowHeight="12315"/>
  </bookViews>
  <sheets>
    <sheet name="CASOS DE PRUEBA" sheetId="1" r:id="rId1"/>
    <sheet name="RESUMEN" sheetId="2" r:id="rId2"/>
    <sheet name="CATALOGOS" sheetId="3" r:id="rId3"/>
  </sheets>
  <calcPr calcId="152511"/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<sst xmlns="http://schemas.openxmlformats.org/spreadsheetml/2006/main" count="682" uniqueCount="367">
  <si>
    <t>MATRIZ DE CASOS DE PRUEBA – SISTEMA AOCR</t>
  </si>
  <si>
    <t>Estado inicial: PENDIENTE DE EJECUCIÓN. No implica certificación funcional ni autorización de producción.</t>
  </si>
  <si>
    <t>ID</t>
  </si>
  <si>
    <t>Requisito / trazabilidad</t>
  </si>
  <si>
    <t>Módulo</t>
  </si>
  <si>
    <t>Rol</t>
  </si>
  <si>
    <t>Escenario / caso de prueba</t>
  </si>
  <si>
    <t>Precondiciones</t>
  </si>
  <si>
    <t>Pasos principales</t>
  </si>
  <si>
    <t>Resultado esperado</t>
  </si>
  <si>
    <t>Prioridad</t>
  </si>
  <si>
    <t>Tipo</t>
  </si>
  <si>
    <t>Estado</t>
  </si>
  <si>
    <t>Resultado observado / evidencia</t>
  </si>
  <si>
    <t>Responsable</t>
  </si>
  <si>
    <t>Fecha</t>
  </si>
  <si>
    <t>CP-AOCR-001</t>
  </si>
  <si>
    <t>SEG-01</t>
  </si>
  <si>
    <t>Autenticación</t>
  </si>
  <si>
    <t>Todos</t>
  </si>
  <si>
    <t>Inicio de sesión válido</t>
  </si>
  <si>
    <t>Usuario activo con rol asignado</t>
  </si>
  <si>
    <t>Ingresar credenciales válidas; acceder al sistema</t>
  </si>
  <si>
    <t>Sesión iniciada y menú correspondiente al rol</t>
  </si>
  <si>
    <t>Crítica</t>
  </si>
  <si>
    <t>Seguridad</t>
  </si>
  <si>
    <t>Pendiente de ejecución</t>
  </si>
  <si>
    <t>PENDIENTE: adjuntar captura, log o reporte y registrar resultado real.</t>
  </si>
  <si>
    <t>Pendiente de designación</t>
  </si>
  <si>
    <t>CP-AOCR-002</t>
  </si>
  <si>
    <t>SEG-02</t>
  </si>
  <si>
    <t>Credenciales inválidas</t>
  </si>
  <si>
    <t>Usuario existente</t>
  </si>
  <si>
    <t>Ingresar contraseña incorrecta</t>
  </si>
  <si>
    <t>Acceso rechazado sin revelar información sensible</t>
  </si>
  <si>
    <t>Alta</t>
  </si>
  <si>
    <t>CP-AOCR-003</t>
  </si>
  <si>
    <t>SEG-03</t>
  </si>
  <si>
    <t>Autorización</t>
  </si>
  <si>
    <t>Acceso directo a ruta no permitida</t>
  </si>
  <si>
    <t>Usuario autenticado con rol distinto</t>
  </si>
  <si>
    <t>Abrir URL de acción restringida</t>
  </si>
  <si>
    <t>Respuesta 403 controlada y sin exposición de datos</t>
  </si>
  <si>
    <t>CP-AOCR-004</t>
  </si>
  <si>
    <t>SEG-04</t>
  </si>
  <si>
    <t>Sesión</t>
  </si>
  <si>
    <t>Expiración de sesión</t>
  </si>
  <si>
    <t>Sesión iniciada</t>
  </si>
  <si>
    <t>Esperar expiración; ejecutar acción</t>
  </si>
  <si>
    <t>Redirección controlada al login sin pérdida silenciosa</t>
  </si>
  <si>
    <t>CP-AOCR-005</t>
  </si>
  <si>
    <t>SEG-05</t>
  </si>
  <si>
    <t>Archivos</t>
  </si>
  <si>
    <t>RT / Inspector</t>
  </si>
  <si>
    <t>Carga de archivo no permitido</t>
  </si>
  <si>
    <t>Expediente habilitado</t>
  </si>
  <si>
    <t>Cargar extensión o tamaño no permitido</t>
  </si>
  <si>
    <t>Archivo rechazado con mensaje claro</t>
  </si>
  <si>
    <t>CP-AOCR-006</t>
  </si>
  <si>
    <t>SEG-06</t>
  </si>
  <si>
    <t>Auditoría</t>
  </si>
  <si>
    <t>Administrador</t>
  </si>
  <si>
    <t>Registro único de acción crítica</t>
  </si>
  <si>
    <t>Acción crítica habilitada</t>
  </si>
  <si>
    <t>Ejecutar transición una vez</t>
  </si>
  <si>
    <t>Un solo registro de auditoría con usuario, fecha y expediente</t>
  </si>
  <si>
    <t>CP-AOCR-007</t>
  </si>
  <si>
    <t>RT-01</t>
  </si>
  <si>
    <t>Multiempresa</t>
  </si>
  <si>
    <t>RT</t>
  </si>
  <si>
    <t>Visualización de compañías vinculadas</t>
  </si>
  <si>
    <t>RT con dos compañías</t>
  </si>
  <si>
    <t>Ingresar y abrir selector</t>
  </si>
  <si>
    <t>Solo aparecen compañías vinculadas</t>
  </si>
  <si>
    <t>Funcional</t>
  </si>
  <si>
    <t>CP-AOCR-008</t>
  </si>
  <si>
    <t>RT-02</t>
  </si>
  <si>
    <t>Aislamiento de datos por compañía</t>
  </si>
  <si>
    <t>RT con expedientes en dos compañías</t>
  </si>
  <si>
    <t>Alternar compañía y revisar bandeja</t>
  </si>
  <si>
    <t>No se mezclan solicitudes, documentos, pagos ni PDFs</t>
  </si>
  <si>
    <t>CP-AOCR-009</t>
  </si>
  <si>
    <t>RT-03</t>
  </si>
  <si>
    <t>Solicitud</t>
  </si>
  <si>
    <t>Crear solicitud sin proceso activo</t>
  </si>
  <si>
    <t>Compañía seleccionada sin proceso</t>
  </si>
  <si>
    <t>Crear y guardar solicitud</t>
  </si>
  <si>
    <t>Borrador asociado a la compañía correcta</t>
  </si>
  <si>
    <t>CP-AOCR-010</t>
  </si>
  <si>
    <t>RT-04</t>
  </si>
  <si>
    <t>Bloqueo por proceso activo</t>
  </si>
  <si>
    <t>Compañía con trámite activo</t>
  </si>
  <si>
    <t>Intentar crear nueva solicitud</t>
  </si>
  <si>
    <t>Sistema bloquea solo a esa compañía y explica motivo</t>
  </si>
  <si>
    <t>CP-AOCR-011</t>
  </si>
  <si>
    <t>RT-05</t>
  </si>
  <si>
    <t>Otra compañía puede iniciar</t>
  </si>
  <si>
    <t>Segunda compañía sin proceso</t>
  </si>
  <si>
    <t>Seleccionar segunda compañía y crear solicitud</t>
  </si>
  <si>
    <t>Creación permitida sin afectar la primera</t>
  </si>
  <si>
    <t>CP-AOCR-012</t>
  </si>
  <si>
    <t>RT-06</t>
  </si>
  <si>
    <t>Documentos</t>
  </si>
  <si>
    <t>Carga ordenada de requisitos</t>
  </si>
  <si>
    <t>Solicitud en carga documental</t>
  </si>
  <si>
    <t>Cargar documentos requeridos</t>
  </si>
  <si>
    <t>Tabla muestra orden institucional y nombre real del archivo</t>
  </si>
  <si>
    <t>CP-AOCR-013</t>
  </si>
  <si>
    <t>RT-07</t>
  </si>
  <si>
    <t>Subsanación</t>
  </si>
  <si>
    <t>Reemplazar documento rechazado</t>
  </si>
  <si>
    <t>Documento rechazado con observación</t>
  </si>
  <si>
    <t>Cargar nueva versión y enviar</t>
  </si>
  <si>
    <t>Solo rechazados son editables; versión y notificación registradas</t>
  </si>
  <si>
    <t>CP-AOCR-014</t>
  </si>
  <si>
    <t>RT-08</t>
  </si>
  <si>
    <t>Descargas</t>
  </si>
  <si>
    <t>Descargar documentos finales</t>
  </si>
  <si>
    <t>AOCR y Condiciones firmados</t>
  </si>
  <si>
    <t>Abrir expediente y descargar ambos</t>
  </si>
  <si>
    <t>Archivos correctos, legibles y de la compañía adecuada</t>
  </si>
  <si>
    <t>CP-AOCR-015</t>
  </si>
  <si>
    <t>COO-01</t>
  </si>
  <si>
    <t>Revisión inicial</t>
  </si>
  <si>
    <t>Coordinador</t>
  </si>
  <si>
    <t>Aceptar solicitud completa</t>
  </si>
  <si>
    <t>Solicitud enviada</t>
  </si>
  <si>
    <t>Revisar; aceptar</t>
  </si>
  <si>
    <t>Estado avanza y queda trazabilidad</t>
  </si>
  <si>
    <t>CP-AOCR-016</t>
  </si>
  <si>
    <t>COO-02</t>
  </si>
  <si>
    <t>Devolver con observación</t>
  </si>
  <si>
    <t>Solicitud incompleta</t>
  </si>
  <si>
    <t>Ingresar observación y devolver</t>
  </si>
  <si>
    <t>RT recibe observación y el estado es correcto</t>
  </si>
  <si>
    <t>CP-AOCR-017</t>
  </si>
  <si>
    <t>COO-03</t>
  </si>
  <si>
    <t>Asignación</t>
  </si>
  <si>
    <t>Designar Inspector</t>
  </si>
  <si>
    <t>Solicitud aceptada</t>
  </si>
  <si>
    <t>Seleccionar Inspector; confirmar</t>
  </si>
  <si>
    <t>Asignación única, notificación y bandeja actualizadas</t>
  </si>
  <si>
    <t>CP-AOCR-018</t>
  </si>
  <si>
    <t>COO-04</t>
  </si>
  <si>
    <t>Reasignar Inspector</t>
  </si>
  <si>
    <t>Expediente asignado y justificación</t>
  </si>
  <si>
    <t>Reasignar; registrar motivo</t>
  </si>
  <si>
    <t>Historial conserva Inspector anterior y nuevo</t>
  </si>
  <si>
    <t>CP-AOCR-019</t>
  </si>
  <si>
    <t>INS-01</t>
  </si>
  <si>
    <t>Revisión documental</t>
  </si>
  <si>
    <t>Inspector</t>
  </si>
  <si>
    <t>Aceptar documento</t>
  </si>
  <si>
    <t>Expediente asignado</t>
  </si>
  <si>
    <t>Seleccionar Aceptada; guardar</t>
  </si>
  <si>
    <t>Decisión persiste y RT la ve en lectura</t>
  </si>
  <si>
    <t>CP-AOCR-020</t>
  </si>
  <si>
    <t>INS-02</t>
  </si>
  <si>
    <t>Rechazar sin comentario</t>
  </si>
  <si>
    <t>Documento disponible</t>
  </si>
  <si>
    <t>Seleccionar Rechazada sin comentario</t>
  </si>
  <si>
    <t>Sistema bloquea guardado y exige comentario</t>
  </si>
  <si>
    <t>CP-AOCR-021</t>
  </si>
  <si>
    <t>INS-03</t>
  </si>
  <si>
    <t>Rechazar con comentario</t>
  </si>
  <si>
    <t>Seleccionar Rechazada; ingresar comentario; guardar</t>
  </si>
  <si>
    <t>Decisión, comentario, fecha y versión quedan auditados</t>
  </si>
  <si>
    <t>CP-AOCR-022</t>
  </si>
  <si>
    <t>INS-04</t>
  </si>
  <si>
    <t>Aceptar nueva versión</t>
  </si>
  <si>
    <t>RT envió subsanación</t>
  </si>
  <si>
    <t>Abrir nueva versión; aceptar</t>
  </si>
  <si>
    <t>Guardado exitoso sin error 403; flujo continúa</t>
  </si>
  <si>
    <t>CP-AOCR-023</t>
  </si>
  <si>
    <t>INS-05</t>
  </si>
  <si>
    <t>Lista de verificación</t>
  </si>
  <si>
    <t>Guardar avance</t>
  </si>
  <si>
    <t>LV habilitada</t>
  </si>
  <si>
    <t>Completar puntos; guardar parcial</t>
  </si>
  <si>
    <t>Datos persisten y formulario permanece disponible</t>
  </si>
  <si>
    <t>CP-AOCR-024</t>
  </si>
  <si>
    <t>INS-06</t>
  </si>
  <si>
    <t>Finalizar LV</t>
  </si>
  <si>
    <t>Todos los campos obligatorios completos</t>
  </si>
  <si>
    <t>Finalizar y confirmar</t>
  </si>
  <si>
    <t>No redirige al login; estado avanza</t>
  </si>
  <si>
    <t>CP-AOCR-025</t>
  </si>
  <si>
    <t>INS-07</t>
  </si>
  <si>
    <t>Informe Técnico</t>
  </si>
  <si>
    <t>Generar y previsualizar informe</t>
  </si>
  <si>
    <t>LV finalizada</t>
  </si>
  <si>
    <t>Generar; abrir vista previa</t>
  </si>
  <si>
    <t>Informe corresponde al expediente y se visualiza</t>
  </si>
  <si>
    <t>CP-AOCR-026</t>
  </si>
  <si>
    <t>INS-08</t>
  </si>
  <si>
    <t>Cargar informe firmado</t>
  </si>
  <si>
    <t>Informe generado</t>
  </si>
  <si>
    <t>Cargar archivo firmado; descargar</t>
  </si>
  <si>
    <t>Archivo existe, se descarga y queda auditado</t>
  </si>
  <si>
    <t>CP-AOCR-027</t>
  </si>
  <si>
    <t>DIR-01</t>
  </si>
  <si>
    <t>DGAC/DIRDAC</t>
  </si>
  <si>
    <t>Aprobar informe</t>
  </si>
  <si>
    <t>Informe remitido</t>
  </si>
  <si>
    <t>Revisar; aprobar</t>
  </si>
  <si>
    <t>Estado habilita generación/firma correspondiente</t>
  </si>
  <si>
    <t>CP-AOCR-028</t>
  </si>
  <si>
    <t>DIR-02</t>
  </si>
  <si>
    <t>Devolver informe</t>
  </si>
  <si>
    <t>Informe con observación</t>
  </si>
  <si>
    <t>Ingresar comentario; devolver</t>
  </si>
  <si>
    <t>Inspector recibe devolución y puede corregir</t>
  </si>
  <si>
    <t>CP-AOCR-029</t>
  </si>
  <si>
    <t>DIR-03</t>
  </si>
  <si>
    <t>AOCR</t>
  </si>
  <si>
    <t>Validar campos obligatorios</t>
  </si>
  <si>
    <t>Omitir Estado del explotador o vencimiento</t>
  </si>
  <si>
    <t>Sistema bloquea generación y marca campos</t>
  </si>
  <si>
    <t>CP-AOCR-030</t>
  </si>
  <si>
    <t>DIR-04</t>
  </si>
  <si>
    <t>Generar y firmar AOCR</t>
  </si>
  <si>
    <t>Datos completos</t>
  </si>
  <si>
    <t>Generar PDF; firmar</t>
  </si>
  <si>
    <t>Sin errores 400/500; firma y archivo registrados</t>
  </si>
  <si>
    <t>CP-AOCR-031</t>
  </si>
  <si>
    <t>DCAV-01</t>
  </si>
  <si>
    <t>Condiciones</t>
  </si>
  <si>
    <t>DCAV</t>
  </si>
  <si>
    <t>Firmar Condiciones y Limitaciones</t>
  </si>
  <si>
    <t>Documento habilitado</t>
  </si>
  <si>
    <t>Revisar; firmar</t>
  </si>
  <si>
    <t>Documento firmado con fecha y responsable</t>
  </si>
  <si>
    <t>CP-AOCR-032</t>
  </si>
  <si>
    <t>REC-01</t>
  </si>
  <si>
    <t>Orden de recaudación</t>
  </si>
  <si>
    <t>Concepto obligatorio INSPECCION_EXT</t>
  </si>
  <si>
    <t>Solicitud finalizada</t>
  </si>
  <si>
    <t>Abrir orden; intentar omitir concepto</t>
  </si>
  <si>
    <t>Sistema exige y preselecciona INSPECCION_EXT</t>
  </si>
  <si>
    <t>CP-AOCR-033</t>
  </si>
  <si>
    <t>REC-02</t>
  </si>
  <si>
    <t>Generar PDF de orden</t>
  </si>
  <si>
    <t>Confirmar generación</t>
  </si>
  <si>
    <t>Se genera una sola orden y PDF con compañía correcta</t>
  </si>
  <si>
    <t>CP-AOCR-034</t>
  </si>
  <si>
    <t>REC-03</t>
  </si>
  <si>
    <t>Financiero</t>
  </si>
  <si>
    <t>Orden no visible antes del comprobante</t>
  </si>
  <si>
    <t>Orden generada sin comprobante</t>
  </si>
  <si>
    <t>Abrir bandeja financiera</t>
  </si>
  <si>
    <t>La orden no aparece</t>
  </si>
  <si>
    <t>CP-AOCR-035</t>
  </si>
  <si>
    <t>REC-04</t>
  </si>
  <si>
    <t>Aprobar comprobante</t>
  </si>
  <si>
    <t>Comprobante cargado</t>
  </si>
  <si>
    <t>Orden inactiva, trámite habilitado y RT notificado</t>
  </si>
  <si>
    <t>CP-AOCR-036</t>
  </si>
  <si>
    <t>REC-05</t>
  </si>
  <si>
    <t>Rechazar comprobante</t>
  </si>
  <si>
    <t>Comprobante inválido</t>
  </si>
  <si>
    <t>Ingresar observación; rechazar</t>
  </si>
  <si>
    <t>RT recibe observación y puede corregir</t>
  </si>
  <si>
    <t>CP-AOCR-037</t>
  </si>
  <si>
    <t>FIR-01</t>
  </si>
  <si>
    <t>Firma institucional</t>
  </si>
  <si>
    <t>Sistema</t>
  </si>
  <si>
    <t>Esperar ambas firmas</t>
  </si>
  <si>
    <t>Solo AOCR firmado</t>
  </si>
  <si>
    <t>Revisar estado y notificaciones</t>
  </si>
  <si>
    <t>No se cierra ni envían documentos finales todavía</t>
  </si>
  <si>
    <t>CP-AOCR-038</t>
  </si>
  <si>
    <t>FIR-02</t>
  </si>
  <si>
    <t>Cierre con ambas firmas</t>
  </si>
  <si>
    <t>Completar segunda firma</t>
  </si>
  <si>
    <t>Expediente finaliza y RT recibe ambos adjuntos</t>
  </si>
  <si>
    <t>CP-AOCR-039</t>
  </si>
  <si>
    <t>NOT-01</t>
  </si>
  <si>
    <t>Notificaciones</t>
  </si>
  <si>
    <t>Correo único por evento</t>
  </si>
  <si>
    <t>Evento habilitado</t>
  </si>
  <si>
    <t>Un correo, destinatarios correctos y registro de envío</t>
  </si>
  <si>
    <t>CP-AOCR-040</t>
  </si>
  <si>
    <t>NOT-02</t>
  </si>
  <si>
    <t>Falla SMTP controlada</t>
  </si>
  <si>
    <t>SMTP no disponible</t>
  </si>
  <si>
    <t>Ejecutar evento de correo</t>
  </si>
  <si>
    <t>Transacción no queda inconsistente; error y reintento registrados</t>
  </si>
  <si>
    <t>Integración</t>
  </si>
  <si>
    <t>CP-AOCR-041</t>
  </si>
  <si>
    <t>INT-01</t>
  </si>
  <si>
    <t>AS400/DB2</t>
  </si>
  <si>
    <t>Timeout de integración</t>
  </si>
  <si>
    <t>Servicio lento/no disponible</t>
  </si>
  <si>
    <t>Ejecutar consulta</t>
  </si>
  <si>
    <t>Timeout controlado y mensaje técnico sin datos sensibles</t>
  </si>
  <si>
    <t>CP-AOCR-042</t>
  </si>
  <si>
    <t>INT-02</t>
  </si>
  <si>
    <t>Respuesta válida</t>
  </si>
  <si>
    <t>Servicio disponible</t>
  </si>
  <si>
    <t>Datos se procesan y quedan asociados al expediente correcto</t>
  </si>
  <si>
    <t>CP-AOCR-043</t>
  </si>
  <si>
    <t>UI-01</t>
  </si>
  <si>
    <t>Interfaz</t>
  </si>
  <si>
    <t>Contraste de textos</t>
  </si>
  <si>
    <t>Usuario autenticado</t>
  </si>
  <si>
    <t>Recorrer pantallas principales</t>
  </si>
  <si>
    <t>Textos legibles sobre fondos existentes</t>
  </si>
  <si>
    <t>Media</t>
  </si>
  <si>
    <t>Visual</t>
  </si>
  <si>
    <t>CP-AOCR-044</t>
  </si>
  <si>
    <t>UI-02</t>
  </si>
  <si>
    <t>Responsive</t>
  </si>
  <si>
    <t>Resoluciones representativas</t>
  </si>
  <si>
    <t>Revisar tablas, combos y acciones</t>
  </si>
  <si>
    <t>Sin desbordes; acciones utilizables</t>
  </si>
  <si>
    <t>CP-AOCR-045</t>
  </si>
  <si>
    <t>UI-03</t>
  </si>
  <si>
    <t>Navegación</t>
  </si>
  <si>
    <t>Evitar bucle de documentación</t>
  </si>
  <si>
    <t>Expediente disponible</t>
  </si>
  <si>
    <t>Abrir “Ver documentación cargada”</t>
  </si>
  <si>
    <t>Abre una vez y permite regresar</t>
  </si>
  <si>
    <t>CP-AOCR-046</t>
  </si>
  <si>
    <t>DB-01</t>
  </si>
  <si>
    <t>Migraciones</t>
  </si>
  <si>
    <t>DPTI/DISST</t>
  </si>
  <si>
    <t>Aplicación, rollback y reaplicación</t>
  </si>
  <si>
    <t>Copia aislada y respaldo</t>
  </si>
  <si>
    <t>Aplicar; revertir; aplicar nuevamente</t>
  </si>
  <si>
    <t>Tres fases exitosas sin pérdida de datos</t>
  </si>
  <si>
    <t>Base de datos</t>
  </si>
  <si>
    <t>CP-AOCR-047</t>
  </si>
  <si>
    <t>REL-01</t>
  </si>
  <si>
    <t>Release</t>
  </si>
  <si>
    <t>DPTI</t>
  </si>
  <si>
    <t>Compilación Debug/Release/Razor</t>
  </si>
  <si>
    <t>Dependencias restauradas</t>
  </si>
  <si>
    <t>Compilar solución y vistas</t>
  </si>
  <si>
    <t>Cero errores de compilación</t>
  </si>
  <si>
    <t>Técnica</t>
  </si>
  <si>
    <t>CP-AOCR-048</t>
  </si>
  <si>
    <t>REG-01</t>
  </si>
  <si>
    <t>Regresión</t>
  </si>
  <si>
    <t>QA</t>
  </si>
  <si>
    <t>Batería global</t>
  </si>
  <si>
    <t>Ambiente configurado</t>
  </si>
  <si>
    <t>Ejecutar suite completa</t>
  </si>
  <si>
    <t>Cero fallos internos nuevos; fallos externos clasificados</t>
  </si>
  <si>
    <t>CP-AOCR-049</t>
  </si>
  <si>
    <t>VIS-01</t>
  </si>
  <si>
    <t>Validación visual</t>
  </si>
  <si>
    <t>QA / usuarios</t>
  </si>
  <si>
    <t>Prueba autenticada por rol</t>
  </si>
  <si>
    <t>Ambiente disponible</t>
  </si>
  <si>
    <t>Recorrer flujo y capturar evidencia</t>
  </si>
  <si>
    <t>Sin errores visuales bloqueantes; evidencia adjunta</t>
  </si>
  <si>
    <t>RESUMEN DE EJECUCIÓN – AOCR</t>
  </si>
  <si>
    <t>Indicador</t>
  </si>
  <si>
    <t>Valor</t>
  </si>
  <si>
    <t>CONDICIÓN DE CIERRE
No emitir certificación funcional ni autorizar producción hasta que todos los casos críticos y de alta prioridad estén aprobados, se adjunten evidencias y se cierren los bloqueadores técnicos.</t>
  </si>
  <si>
    <t>Total de casos</t>
  </si>
  <si>
    <t>Pendientes</t>
  </si>
  <si>
    <t>En ejecución</t>
  </si>
  <si>
    <t>Pasa</t>
  </si>
  <si>
    <t>No pasa</t>
  </si>
  <si>
    <t>Baja</t>
  </si>
  <si>
    <t>Bloqueado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</si>
</sst>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>
    <font>
      <sz val="11"/>
      <name val="Carlito"/>
    </font>
    <font>
      <b/>
      <sz val="14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0" xfId="0" applyNumberFormat="1" applyFont="1" applyFill="1" applyBorder="1"/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164" fontId="0" fillId="0" borderId="6" xfId="0" applyNumberFormat="1" applyFont="1" applyFill="1" applyBorder="1" applyAlignment="1">
      <alignment wrapText="1"/>
    </xf>
    <xf numFmtId="164" fontId="0" fillId="0" borderId="9" xfId="0" applyNumberFormat="1" applyFont="1" applyFill="1" applyBorder="1" applyAlignment="1">
      <alignment wrapText="1"/>
    </xf>
    <xf numFmtId="0" fontId="3" fillId="4" borderId="1" xfId="0" applyNumberFormat="1" applyFont="1" applyFill="1" applyBorder="1"/>
    <xf numFmtId="0" fontId="3" fillId="4" borderId="3" xfId="0" applyNumberFormat="1" applyFont="1" applyFill="1" applyBorder="1"/>
    <xf numFmtId="0" fontId="0" fillId="0" borderId="4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9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/>
    </xf>
    <xf numFmtId="0" fontId="4" fillId="5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4B18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r>
              <a:rPr lang="es-EC"/>
              <a:t>Casos por estado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RESUMEN!$A$4:$A$8</c:f>
              <c:strCache>
                <c:ptCount val="5"/>
                <c:pt idx="0">
                  <c:v>Total de casos</c:v>
                </c:pt>
                <c:pt idx="1">
                  <c:v>Pendientes</c:v>
                </c:pt>
                <c:pt idx="2">
                  <c:v>En ejecución</c:v>
                </c:pt>
                <c:pt idx="3">
                  <c:v>Pasa</c:v>
                </c:pt>
                <c:pt idx="4">
                  <c:v>No pasa</c:v>
                </c:pt>
              </c:strCache>
            </c:strRef>
          </c:cat>
          <c:val>
            <c:numRef>
              <c:f>RESUMEN!$B$4:$B$8</c:f>
              <c:numCache>
                <c:formatCode>General</c:formatCode>
                <c:ptCount val="5"/>
                <c:pt idx="0">
                  <c:v>49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502368"/>
        <c:axId val="511504000"/>
      </c:barChart>
      <c:catAx>
        <c:axId val="5115023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511504000"/>
        <c:crosses val="autoZero"/>
        <c:auto val="1"/>
        <c:lblAlgn val="ctr"/>
        <c:lblOffset val="100"/>
        <c:noMultiLvlLbl val="0"/>
      </c:catAx>
      <c:valAx>
        <c:axId val="51150400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511502368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sosAOCR" displayName="CasosAOCR" ref="A4:N53">
  <tableColumns count="14">
    <tableColumn id="1" name="ID"/>
    <tableColumn id="2" name="Requisito / trazabilidad"/>
    <tableColumn id="3" name="Módulo"/>
    <tableColumn id="4" name="Rol"/>
    <tableColumn id="5" name="Escenario / caso de prueba"/>
    <tableColumn id="6" name="Precondiciones"/>
    <tableColumn id="7" name="Pasos principales"/>
    <tableColumn id="8" name="Resultado esperado"/>
    <tableColumn id="9" name="Prioridad"/>
    <tableColumn id="10" name="Tipo"/>
    <tableColumn id="11" name="Estado"/>
    <tableColumn id="12" name="Resultado observado / evidencia"/>
    <tableColumn id="13" name="Responsable"/>
    <tableColumn id="14" name="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workbookViewId="0">
      <selection sqref="A1:N1"/>
    </sheetView>
  </sheetViews>
  <sheetFormatPr baseColWidth="10" defaultColWidth="9" defaultRowHeight="14.25"/>
  <cols>
    <col min="1" max="1" width="14" customWidth="1"/>
    <col min="2" max="2" width="20" customWidth="1"/>
    <col min="3" max="3" width="18" customWidth="1"/>
    <col min="4" max="4" width="16" customWidth="1"/>
    <col min="5" max="5" width="34" customWidth="1"/>
    <col min="6" max="6" width="30" customWidth="1"/>
    <col min="7" max="8" width="38" customWidth="1"/>
    <col min="9" max="9" width="12" customWidth="1"/>
    <col min="10" max="10" width="14" customWidth="1"/>
    <col min="11" max="11" width="20" customWidth="1"/>
    <col min="12" max="12" width="35" customWidth="1"/>
    <col min="13" max="13" width="22" customWidth="1"/>
    <col min="14" max="14" width="14" customWidth="1"/>
  </cols>
  <sheetData>
    <row r="1" spans="1:14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3.950000000000003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4" spans="1:14" ht="42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4" t="s">
        <v>15</v>
      </c>
    </row>
    <row r="5" spans="1:14" ht="28.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9"/>
    </row>
    <row r="6" spans="1:14" ht="28.5">
      <c r="A6" s="5" t="s">
        <v>29</v>
      </c>
      <c r="B6" s="6" t="s">
        <v>30</v>
      </c>
      <c r="C6" s="6" t="s">
        <v>18</v>
      </c>
      <c r="D6" s="6" t="s">
        <v>19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35</v>
      </c>
      <c r="J6" s="6" t="s">
        <v>25</v>
      </c>
      <c r="K6" s="6" t="s">
        <v>26</v>
      </c>
      <c r="L6" s="6" t="s">
        <v>27</v>
      </c>
      <c r="M6" s="6" t="s">
        <v>28</v>
      </c>
      <c r="N6" s="9"/>
    </row>
    <row r="7" spans="1:14" ht="28.5">
      <c r="A7" s="5" t="s">
        <v>36</v>
      </c>
      <c r="B7" s="6" t="s">
        <v>37</v>
      </c>
      <c r="C7" s="6" t="s">
        <v>38</v>
      </c>
      <c r="D7" s="6" t="s">
        <v>19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24</v>
      </c>
      <c r="J7" s="6" t="s">
        <v>25</v>
      </c>
      <c r="K7" s="6" t="s">
        <v>26</v>
      </c>
      <c r="L7" s="6" t="s">
        <v>27</v>
      </c>
      <c r="M7" s="6" t="s">
        <v>28</v>
      </c>
      <c r="N7" s="9"/>
    </row>
    <row r="8" spans="1:14" ht="28.5">
      <c r="A8" s="5" t="s">
        <v>43</v>
      </c>
      <c r="B8" s="6" t="s">
        <v>44</v>
      </c>
      <c r="C8" s="6" t="s">
        <v>45</v>
      </c>
      <c r="D8" s="6" t="s">
        <v>19</v>
      </c>
      <c r="E8" s="6" t="s">
        <v>46</v>
      </c>
      <c r="F8" s="6" t="s">
        <v>47</v>
      </c>
      <c r="G8" s="6" t="s">
        <v>48</v>
      </c>
      <c r="H8" s="6" t="s">
        <v>49</v>
      </c>
      <c r="I8" s="6" t="s">
        <v>35</v>
      </c>
      <c r="J8" s="6" t="s">
        <v>25</v>
      </c>
      <c r="K8" s="6" t="s">
        <v>26</v>
      </c>
      <c r="L8" s="6" t="s">
        <v>27</v>
      </c>
      <c r="M8" s="6" t="s">
        <v>28</v>
      </c>
      <c r="N8" s="9"/>
    </row>
    <row r="9" spans="1:14" ht="28.5">
      <c r="A9" s="5" t="s">
        <v>50</v>
      </c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57</v>
      </c>
      <c r="I9" s="6" t="s">
        <v>35</v>
      </c>
      <c r="J9" s="6" t="s">
        <v>25</v>
      </c>
      <c r="K9" s="6" t="s">
        <v>26</v>
      </c>
      <c r="L9" s="6" t="s">
        <v>27</v>
      </c>
      <c r="M9" s="6" t="s">
        <v>28</v>
      </c>
      <c r="N9" s="9"/>
    </row>
    <row r="10" spans="1:14" ht="28.5">
      <c r="A10" s="5" t="s">
        <v>58</v>
      </c>
      <c r="B10" s="6" t="s">
        <v>59</v>
      </c>
      <c r="C10" s="6" t="s">
        <v>60</v>
      </c>
      <c r="D10" s="6" t="s">
        <v>61</v>
      </c>
      <c r="E10" s="6" t="s">
        <v>62</v>
      </c>
      <c r="F10" s="6" t="s">
        <v>63</v>
      </c>
      <c r="G10" s="6" t="s">
        <v>64</v>
      </c>
      <c r="H10" s="6" t="s">
        <v>65</v>
      </c>
      <c r="I10" s="6" t="s">
        <v>24</v>
      </c>
      <c r="J10" s="6" t="s">
        <v>60</v>
      </c>
      <c r="K10" s="6" t="s">
        <v>26</v>
      </c>
      <c r="L10" s="6" t="s">
        <v>27</v>
      </c>
      <c r="M10" s="6" t="s">
        <v>28</v>
      </c>
      <c r="N10" s="9"/>
    </row>
    <row r="11" spans="1:14" ht="28.5">
      <c r="A11" s="5" t="s">
        <v>66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24</v>
      </c>
      <c r="J11" s="6" t="s">
        <v>74</v>
      </c>
      <c r="K11" s="6" t="s">
        <v>26</v>
      </c>
      <c r="L11" s="6" t="s">
        <v>27</v>
      </c>
      <c r="M11" s="6" t="s">
        <v>28</v>
      </c>
      <c r="N11" s="9"/>
    </row>
    <row r="12" spans="1:14" ht="28.5">
      <c r="A12" s="5" t="s">
        <v>75</v>
      </c>
      <c r="B12" s="6" t="s">
        <v>76</v>
      </c>
      <c r="C12" s="6" t="s">
        <v>68</v>
      </c>
      <c r="D12" s="6" t="s">
        <v>69</v>
      </c>
      <c r="E12" s="6" t="s">
        <v>77</v>
      </c>
      <c r="F12" s="6" t="s">
        <v>78</v>
      </c>
      <c r="G12" s="6" t="s">
        <v>79</v>
      </c>
      <c r="H12" s="6" t="s">
        <v>80</v>
      </c>
      <c r="I12" s="6" t="s">
        <v>24</v>
      </c>
      <c r="J12" s="6" t="s">
        <v>74</v>
      </c>
      <c r="K12" s="6" t="s">
        <v>26</v>
      </c>
      <c r="L12" s="6" t="s">
        <v>27</v>
      </c>
      <c r="M12" s="6" t="s">
        <v>28</v>
      </c>
      <c r="N12" s="9"/>
    </row>
    <row r="13" spans="1:14" ht="28.5">
      <c r="A13" s="5" t="s">
        <v>81</v>
      </c>
      <c r="B13" s="6" t="s">
        <v>82</v>
      </c>
      <c r="C13" s="6" t="s">
        <v>83</v>
      </c>
      <c r="D13" s="6" t="s">
        <v>69</v>
      </c>
      <c r="E13" s="6" t="s">
        <v>84</v>
      </c>
      <c r="F13" s="6" t="s">
        <v>85</v>
      </c>
      <c r="G13" s="6" t="s">
        <v>86</v>
      </c>
      <c r="H13" s="6" t="s">
        <v>87</v>
      </c>
      <c r="I13" s="6" t="s">
        <v>35</v>
      </c>
      <c r="J13" s="6" t="s">
        <v>74</v>
      </c>
      <c r="K13" s="6" t="s">
        <v>26</v>
      </c>
      <c r="L13" s="6" t="s">
        <v>27</v>
      </c>
      <c r="M13" s="6" t="s">
        <v>28</v>
      </c>
      <c r="N13" s="9"/>
    </row>
    <row r="14" spans="1:14" ht="28.5">
      <c r="A14" s="5" t="s">
        <v>88</v>
      </c>
      <c r="B14" s="6" t="s">
        <v>89</v>
      </c>
      <c r="C14" s="6" t="s">
        <v>83</v>
      </c>
      <c r="D14" s="6" t="s">
        <v>69</v>
      </c>
      <c r="E14" s="6" t="s">
        <v>90</v>
      </c>
      <c r="F14" s="6" t="s">
        <v>91</v>
      </c>
      <c r="G14" s="6" t="s">
        <v>92</v>
      </c>
      <c r="H14" s="6" t="s">
        <v>93</v>
      </c>
      <c r="I14" s="6" t="s">
        <v>35</v>
      </c>
      <c r="J14" s="6" t="s">
        <v>74</v>
      </c>
      <c r="K14" s="6" t="s">
        <v>26</v>
      </c>
      <c r="L14" s="6" t="s">
        <v>27</v>
      </c>
      <c r="M14" s="6" t="s">
        <v>28</v>
      </c>
      <c r="N14" s="9"/>
    </row>
    <row r="15" spans="1:14" ht="28.5">
      <c r="A15" s="5" t="s">
        <v>94</v>
      </c>
      <c r="B15" s="6" t="s">
        <v>95</v>
      </c>
      <c r="C15" s="6" t="s">
        <v>83</v>
      </c>
      <c r="D15" s="6" t="s">
        <v>69</v>
      </c>
      <c r="E15" s="6" t="s">
        <v>96</v>
      </c>
      <c r="F15" s="6" t="s">
        <v>97</v>
      </c>
      <c r="G15" s="6" t="s">
        <v>98</v>
      </c>
      <c r="H15" s="6" t="s">
        <v>99</v>
      </c>
      <c r="I15" s="6" t="s">
        <v>35</v>
      </c>
      <c r="J15" s="6" t="s">
        <v>74</v>
      </c>
      <c r="K15" s="6" t="s">
        <v>26</v>
      </c>
      <c r="L15" s="6" t="s">
        <v>27</v>
      </c>
      <c r="M15" s="6" t="s">
        <v>28</v>
      </c>
      <c r="N15" s="9"/>
    </row>
    <row r="16" spans="1:14" ht="28.5">
      <c r="A16" s="5" t="s">
        <v>100</v>
      </c>
      <c r="B16" s="6" t="s">
        <v>101</v>
      </c>
      <c r="C16" s="6" t="s">
        <v>102</v>
      </c>
      <c r="D16" s="6" t="s">
        <v>69</v>
      </c>
      <c r="E16" s="6" t="s">
        <v>103</v>
      </c>
      <c r="F16" s="6" t="s">
        <v>104</v>
      </c>
      <c r="G16" s="6" t="s">
        <v>105</v>
      </c>
      <c r="H16" s="6" t="s">
        <v>106</v>
      </c>
      <c r="I16" s="6" t="s">
        <v>35</v>
      </c>
      <c r="J16" s="6" t="s">
        <v>74</v>
      </c>
      <c r="K16" s="6" t="s">
        <v>26</v>
      </c>
      <c r="L16" s="6" t="s">
        <v>27</v>
      </c>
      <c r="M16" s="6" t="s">
        <v>28</v>
      </c>
      <c r="N16" s="9"/>
    </row>
    <row r="17" spans="1:14" ht="28.5">
      <c r="A17" s="5" t="s">
        <v>107</v>
      </c>
      <c r="B17" s="6" t="s">
        <v>108</v>
      </c>
      <c r="C17" s="6" t="s">
        <v>109</v>
      </c>
      <c r="D17" s="6" t="s">
        <v>69</v>
      </c>
      <c r="E17" s="6" t="s">
        <v>110</v>
      </c>
      <c r="F17" s="6" t="s">
        <v>111</v>
      </c>
      <c r="G17" s="6" t="s">
        <v>112</v>
      </c>
      <c r="H17" s="6" t="s">
        <v>113</v>
      </c>
      <c r="I17" s="6" t="s">
        <v>24</v>
      </c>
      <c r="J17" s="6" t="s">
        <v>74</v>
      </c>
      <c r="K17" s="6" t="s">
        <v>26</v>
      </c>
      <c r="L17" s="6" t="s">
        <v>27</v>
      </c>
      <c r="M17" s="6" t="s">
        <v>28</v>
      </c>
      <c r="N17" s="9"/>
    </row>
    <row r="18" spans="1:14" ht="28.5">
      <c r="A18" s="5" t="s">
        <v>114</v>
      </c>
      <c r="B18" s="6" t="s">
        <v>115</v>
      </c>
      <c r="C18" s="6" t="s">
        <v>116</v>
      </c>
      <c r="D18" s="6" t="s">
        <v>69</v>
      </c>
      <c r="E18" s="6" t="s">
        <v>117</v>
      </c>
      <c r="F18" s="6" t="s">
        <v>118</v>
      </c>
      <c r="G18" s="6" t="s">
        <v>119</v>
      </c>
      <c r="H18" s="6" t="s">
        <v>120</v>
      </c>
      <c r="I18" s="6" t="s">
        <v>24</v>
      </c>
      <c r="J18" s="6" t="s">
        <v>74</v>
      </c>
      <c r="K18" s="6" t="s">
        <v>26</v>
      </c>
      <c r="L18" s="6" t="s">
        <v>27</v>
      </c>
      <c r="M18" s="6" t="s">
        <v>28</v>
      </c>
      <c r="N18" s="9"/>
    </row>
    <row r="19" spans="1:14" ht="28.5">
      <c r="A19" s="5" t="s">
        <v>121</v>
      </c>
      <c r="B19" s="6" t="s">
        <v>122</v>
      </c>
      <c r="C19" s="6" t="s">
        <v>123</v>
      </c>
      <c r="D19" s="6" t="s">
        <v>124</v>
      </c>
      <c r="E19" s="6" t="s">
        <v>125</v>
      </c>
      <c r="F19" s="6" t="s">
        <v>126</v>
      </c>
      <c r="G19" s="6" t="s">
        <v>127</v>
      </c>
      <c r="H19" s="6" t="s">
        <v>128</v>
      </c>
      <c r="I19" s="6" t="s">
        <v>35</v>
      </c>
      <c r="J19" s="6" t="s">
        <v>74</v>
      </c>
      <c r="K19" s="6" t="s">
        <v>26</v>
      </c>
      <c r="L19" s="6" t="s">
        <v>27</v>
      </c>
      <c r="M19" s="6" t="s">
        <v>28</v>
      </c>
      <c r="N19" s="9"/>
    </row>
    <row r="20" spans="1:14" ht="28.5">
      <c r="A20" s="5" t="s">
        <v>129</v>
      </c>
      <c r="B20" s="6" t="s">
        <v>130</v>
      </c>
      <c r="C20" s="6" t="s">
        <v>123</v>
      </c>
      <c r="D20" s="6" t="s">
        <v>124</v>
      </c>
      <c r="E20" s="6" t="s">
        <v>131</v>
      </c>
      <c r="F20" s="6" t="s">
        <v>132</v>
      </c>
      <c r="G20" s="6" t="s">
        <v>133</v>
      </c>
      <c r="H20" s="6" t="s">
        <v>134</v>
      </c>
      <c r="I20" s="6" t="s">
        <v>35</v>
      </c>
      <c r="J20" s="6" t="s">
        <v>74</v>
      </c>
      <c r="K20" s="6" t="s">
        <v>26</v>
      </c>
      <c r="L20" s="6" t="s">
        <v>27</v>
      </c>
      <c r="M20" s="6" t="s">
        <v>28</v>
      </c>
      <c r="N20" s="9"/>
    </row>
    <row r="21" spans="1:14" ht="28.5">
      <c r="A21" s="5" t="s">
        <v>135</v>
      </c>
      <c r="B21" s="6" t="s">
        <v>136</v>
      </c>
      <c r="C21" s="6" t="s">
        <v>137</v>
      </c>
      <c r="D21" s="6" t="s">
        <v>124</v>
      </c>
      <c r="E21" s="6" t="s">
        <v>138</v>
      </c>
      <c r="F21" s="6" t="s">
        <v>139</v>
      </c>
      <c r="G21" s="6" t="s">
        <v>140</v>
      </c>
      <c r="H21" s="6" t="s">
        <v>141</v>
      </c>
      <c r="I21" s="6" t="s">
        <v>24</v>
      </c>
      <c r="J21" s="6" t="s">
        <v>74</v>
      </c>
      <c r="K21" s="6" t="s">
        <v>26</v>
      </c>
      <c r="L21" s="6" t="s">
        <v>27</v>
      </c>
      <c r="M21" s="6" t="s">
        <v>28</v>
      </c>
      <c r="N21" s="9"/>
    </row>
    <row r="22" spans="1:14" ht="28.5">
      <c r="A22" s="5" t="s">
        <v>142</v>
      </c>
      <c r="B22" s="6" t="s">
        <v>143</v>
      </c>
      <c r="C22" s="6" t="s">
        <v>137</v>
      </c>
      <c r="D22" s="6" t="s">
        <v>124</v>
      </c>
      <c r="E22" s="6" t="s">
        <v>144</v>
      </c>
      <c r="F22" s="6" t="s">
        <v>145</v>
      </c>
      <c r="G22" s="6" t="s">
        <v>146</v>
      </c>
      <c r="H22" s="6" t="s">
        <v>147</v>
      </c>
      <c r="I22" s="6" t="s">
        <v>35</v>
      </c>
      <c r="J22" s="6" t="s">
        <v>74</v>
      </c>
      <c r="K22" s="6" t="s">
        <v>26</v>
      </c>
      <c r="L22" s="6" t="s">
        <v>27</v>
      </c>
      <c r="M22" s="6" t="s">
        <v>28</v>
      </c>
      <c r="N22" s="9"/>
    </row>
    <row r="23" spans="1:14" ht="28.5">
      <c r="A23" s="5" t="s">
        <v>148</v>
      </c>
      <c r="B23" s="6" t="s">
        <v>149</v>
      </c>
      <c r="C23" s="6" t="s">
        <v>150</v>
      </c>
      <c r="D23" s="6" t="s">
        <v>151</v>
      </c>
      <c r="E23" s="6" t="s">
        <v>152</v>
      </c>
      <c r="F23" s="6" t="s">
        <v>153</v>
      </c>
      <c r="G23" s="6" t="s">
        <v>154</v>
      </c>
      <c r="H23" s="6" t="s">
        <v>155</v>
      </c>
      <c r="I23" s="6" t="s">
        <v>24</v>
      </c>
      <c r="J23" s="6" t="s">
        <v>74</v>
      </c>
      <c r="K23" s="6" t="s">
        <v>26</v>
      </c>
      <c r="L23" s="6" t="s">
        <v>27</v>
      </c>
      <c r="M23" s="6" t="s">
        <v>28</v>
      </c>
      <c r="N23" s="9"/>
    </row>
    <row r="24" spans="1:14" ht="28.5">
      <c r="A24" s="5" t="s">
        <v>156</v>
      </c>
      <c r="B24" s="6" t="s">
        <v>157</v>
      </c>
      <c r="C24" s="6" t="s">
        <v>150</v>
      </c>
      <c r="D24" s="6" t="s">
        <v>151</v>
      </c>
      <c r="E24" s="6" t="s">
        <v>158</v>
      </c>
      <c r="F24" s="6" t="s">
        <v>159</v>
      </c>
      <c r="G24" s="6" t="s">
        <v>160</v>
      </c>
      <c r="H24" s="6" t="s">
        <v>161</v>
      </c>
      <c r="I24" s="6" t="s">
        <v>24</v>
      </c>
      <c r="J24" s="6" t="s">
        <v>74</v>
      </c>
      <c r="K24" s="6" t="s">
        <v>26</v>
      </c>
      <c r="L24" s="6" t="s">
        <v>27</v>
      </c>
      <c r="M24" s="6" t="s">
        <v>28</v>
      </c>
      <c r="N24" s="9"/>
    </row>
    <row r="25" spans="1:14" ht="28.5">
      <c r="A25" s="5" t="s">
        <v>162</v>
      </c>
      <c r="B25" s="6" t="s">
        <v>163</v>
      </c>
      <c r="C25" s="6" t="s">
        <v>150</v>
      </c>
      <c r="D25" s="6" t="s">
        <v>151</v>
      </c>
      <c r="E25" s="6" t="s">
        <v>164</v>
      </c>
      <c r="F25" s="6" t="s">
        <v>159</v>
      </c>
      <c r="G25" s="6" t="s">
        <v>165</v>
      </c>
      <c r="H25" s="6" t="s">
        <v>166</v>
      </c>
      <c r="I25" s="6" t="s">
        <v>24</v>
      </c>
      <c r="J25" s="6" t="s">
        <v>74</v>
      </c>
      <c r="K25" s="6" t="s">
        <v>26</v>
      </c>
      <c r="L25" s="6" t="s">
        <v>27</v>
      </c>
      <c r="M25" s="6" t="s">
        <v>28</v>
      </c>
      <c r="N25" s="9"/>
    </row>
    <row r="26" spans="1:14" ht="28.5">
      <c r="A26" s="5" t="s">
        <v>167</v>
      </c>
      <c r="B26" s="6" t="s">
        <v>168</v>
      </c>
      <c r="C26" s="6" t="s">
        <v>109</v>
      </c>
      <c r="D26" s="6" t="s">
        <v>151</v>
      </c>
      <c r="E26" s="6" t="s">
        <v>169</v>
      </c>
      <c r="F26" s="6" t="s">
        <v>170</v>
      </c>
      <c r="G26" s="6" t="s">
        <v>171</v>
      </c>
      <c r="H26" s="6" t="s">
        <v>172</v>
      </c>
      <c r="I26" s="6" t="s">
        <v>24</v>
      </c>
      <c r="J26" s="6" t="s">
        <v>74</v>
      </c>
      <c r="K26" s="6" t="s">
        <v>26</v>
      </c>
      <c r="L26" s="6" t="s">
        <v>27</v>
      </c>
      <c r="M26" s="6" t="s">
        <v>28</v>
      </c>
      <c r="N26" s="9"/>
    </row>
    <row r="27" spans="1:14" ht="28.5">
      <c r="A27" s="5" t="s">
        <v>173</v>
      </c>
      <c r="B27" s="6" t="s">
        <v>174</v>
      </c>
      <c r="C27" s="6" t="s">
        <v>175</v>
      </c>
      <c r="D27" s="6" t="s">
        <v>151</v>
      </c>
      <c r="E27" s="6" t="s">
        <v>176</v>
      </c>
      <c r="F27" s="6" t="s">
        <v>177</v>
      </c>
      <c r="G27" s="6" t="s">
        <v>178</v>
      </c>
      <c r="H27" s="6" t="s">
        <v>179</v>
      </c>
      <c r="I27" s="6" t="s">
        <v>35</v>
      </c>
      <c r="J27" s="6" t="s">
        <v>74</v>
      </c>
      <c r="K27" s="6" t="s">
        <v>26</v>
      </c>
      <c r="L27" s="6" t="s">
        <v>27</v>
      </c>
      <c r="M27" s="6" t="s">
        <v>28</v>
      </c>
      <c r="N27" s="9"/>
    </row>
    <row r="28" spans="1:14" ht="28.5">
      <c r="A28" s="5" t="s">
        <v>180</v>
      </c>
      <c r="B28" s="6" t="s">
        <v>181</v>
      </c>
      <c r="C28" s="6" t="s">
        <v>175</v>
      </c>
      <c r="D28" s="6" t="s">
        <v>151</v>
      </c>
      <c r="E28" s="6" t="s">
        <v>182</v>
      </c>
      <c r="F28" s="6" t="s">
        <v>183</v>
      </c>
      <c r="G28" s="6" t="s">
        <v>184</v>
      </c>
      <c r="H28" s="6" t="s">
        <v>185</v>
      </c>
      <c r="I28" s="6" t="s">
        <v>24</v>
      </c>
      <c r="J28" s="6" t="s">
        <v>74</v>
      </c>
      <c r="K28" s="6" t="s">
        <v>26</v>
      </c>
      <c r="L28" s="6" t="s">
        <v>27</v>
      </c>
      <c r="M28" s="6" t="s">
        <v>28</v>
      </c>
      <c r="N28" s="9"/>
    </row>
    <row r="29" spans="1:14" ht="28.5">
      <c r="A29" s="5" t="s">
        <v>186</v>
      </c>
      <c r="B29" s="6" t="s">
        <v>187</v>
      </c>
      <c r="C29" s="6" t="s">
        <v>188</v>
      </c>
      <c r="D29" s="6" t="s">
        <v>151</v>
      </c>
      <c r="E29" s="6" t="s">
        <v>189</v>
      </c>
      <c r="F29" s="6" t="s">
        <v>190</v>
      </c>
      <c r="G29" s="6" t="s">
        <v>191</v>
      </c>
      <c r="H29" s="6" t="s">
        <v>192</v>
      </c>
      <c r="I29" s="6" t="s">
        <v>24</v>
      </c>
      <c r="J29" s="6" t="s">
        <v>74</v>
      </c>
      <c r="K29" s="6" t="s">
        <v>26</v>
      </c>
      <c r="L29" s="6" t="s">
        <v>27</v>
      </c>
      <c r="M29" s="6" t="s">
        <v>28</v>
      </c>
      <c r="N29" s="9"/>
    </row>
    <row r="30" spans="1:14" ht="28.5">
      <c r="A30" s="5" t="s">
        <v>193</v>
      </c>
      <c r="B30" s="6" t="s">
        <v>194</v>
      </c>
      <c r="C30" s="6" t="s">
        <v>188</v>
      </c>
      <c r="D30" s="6" t="s">
        <v>151</v>
      </c>
      <c r="E30" s="6" t="s">
        <v>195</v>
      </c>
      <c r="F30" s="6" t="s">
        <v>196</v>
      </c>
      <c r="G30" s="6" t="s">
        <v>197</v>
      </c>
      <c r="H30" s="6" t="s">
        <v>198</v>
      </c>
      <c r="I30" s="6" t="s">
        <v>24</v>
      </c>
      <c r="J30" s="6" t="s">
        <v>74</v>
      </c>
      <c r="K30" s="6" t="s">
        <v>26</v>
      </c>
      <c r="L30" s="6" t="s">
        <v>27</v>
      </c>
      <c r="M30" s="6" t="s">
        <v>28</v>
      </c>
      <c r="N30" s="9"/>
    </row>
    <row r="31" spans="1:14" ht="28.5">
      <c r="A31" s="5" t="s">
        <v>199</v>
      </c>
      <c r="B31" s="6" t="s">
        <v>200</v>
      </c>
      <c r="C31" s="6" t="s">
        <v>188</v>
      </c>
      <c r="D31" s="6" t="s">
        <v>201</v>
      </c>
      <c r="E31" s="6" t="s">
        <v>202</v>
      </c>
      <c r="F31" s="6" t="s">
        <v>203</v>
      </c>
      <c r="G31" s="6" t="s">
        <v>204</v>
      </c>
      <c r="H31" s="6" t="s">
        <v>205</v>
      </c>
      <c r="I31" s="6" t="s">
        <v>24</v>
      </c>
      <c r="J31" s="6" t="s">
        <v>74</v>
      </c>
      <c r="K31" s="6" t="s">
        <v>26</v>
      </c>
      <c r="L31" s="6" t="s">
        <v>27</v>
      </c>
      <c r="M31" s="6" t="s">
        <v>28</v>
      </c>
      <c r="N31" s="9"/>
    </row>
    <row r="32" spans="1:14" ht="28.5">
      <c r="A32" s="5" t="s">
        <v>206</v>
      </c>
      <c r="B32" s="6" t="s">
        <v>207</v>
      </c>
      <c r="C32" s="6" t="s">
        <v>188</v>
      </c>
      <c r="D32" s="6" t="s">
        <v>201</v>
      </c>
      <c r="E32" s="6" t="s">
        <v>208</v>
      </c>
      <c r="F32" s="6" t="s">
        <v>209</v>
      </c>
      <c r="G32" s="6" t="s">
        <v>210</v>
      </c>
      <c r="H32" s="6" t="s">
        <v>211</v>
      </c>
      <c r="I32" s="6" t="s">
        <v>35</v>
      </c>
      <c r="J32" s="6" t="s">
        <v>74</v>
      </c>
      <c r="K32" s="6" t="s">
        <v>26</v>
      </c>
      <c r="L32" s="6" t="s">
        <v>27</v>
      </c>
      <c r="M32" s="6" t="s">
        <v>28</v>
      </c>
      <c r="N32" s="9"/>
    </row>
    <row r="33" spans="1:14" ht="28.5">
      <c r="A33" s="5" t="s">
        <v>212</v>
      </c>
      <c r="B33" s="6" t="s">
        <v>213</v>
      </c>
      <c r="C33" s="6" t="s">
        <v>214</v>
      </c>
      <c r="D33" s="6" t="s">
        <v>201</v>
      </c>
      <c r="E33" s="6" t="s">
        <v>215</v>
      </c>
      <c r="F33" s="6" t="s">
        <v>55</v>
      </c>
      <c r="G33" s="6" t="s">
        <v>216</v>
      </c>
      <c r="H33" s="6" t="s">
        <v>217</v>
      </c>
      <c r="I33" s="6" t="s">
        <v>24</v>
      </c>
      <c r="J33" s="6" t="s">
        <v>74</v>
      </c>
      <c r="K33" s="6" t="s">
        <v>26</v>
      </c>
      <c r="L33" s="6" t="s">
        <v>27</v>
      </c>
      <c r="M33" s="6" t="s">
        <v>28</v>
      </c>
      <c r="N33" s="9"/>
    </row>
    <row r="34" spans="1:14" ht="28.5">
      <c r="A34" s="5" t="s">
        <v>218</v>
      </c>
      <c r="B34" s="6" t="s">
        <v>219</v>
      </c>
      <c r="C34" s="6" t="s">
        <v>214</v>
      </c>
      <c r="D34" s="6" t="s">
        <v>201</v>
      </c>
      <c r="E34" s="6" t="s">
        <v>220</v>
      </c>
      <c r="F34" s="6" t="s">
        <v>221</v>
      </c>
      <c r="G34" s="6" t="s">
        <v>222</v>
      </c>
      <c r="H34" s="6" t="s">
        <v>223</v>
      </c>
      <c r="I34" s="6" t="s">
        <v>24</v>
      </c>
      <c r="J34" s="6" t="s">
        <v>74</v>
      </c>
      <c r="K34" s="6" t="s">
        <v>26</v>
      </c>
      <c r="L34" s="6" t="s">
        <v>27</v>
      </c>
      <c r="M34" s="6" t="s">
        <v>28</v>
      </c>
      <c r="N34" s="9"/>
    </row>
    <row r="35" spans="1:14" ht="28.5">
      <c r="A35" s="5" t="s">
        <v>224</v>
      </c>
      <c r="B35" s="6" t="s">
        <v>225</v>
      </c>
      <c r="C35" s="6" t="s">
        <v>226</v>
      </c>
      <c r="D35" s="6" t="s">
        <v>227</v>
      </c>
      <c r="E35" s="6" t="s">
        <v>228</v>
      </c>
      <c r="F35" s="6" t="s">
        <v>229</v>
      </c>
      <c r="G35" s="6" t="s">
        <v>230</v>
      </c>
      <c r="H35" s="6" t="s">
        <v>231</v>
      </c>
      <c r="I35" s="6" t="s">
        <v>24</v>
      </c>
      <c r="J35" s="6" t="s">
        <v>74</v>
      </c>
      <c r="K35" s="6" t="s">
        <v>26</v>
      </c>
      <c r="L35" s="6" t="s">
        <v>27</v>
      </c>
      <c r="M35" s="6" t="s">
        <v>28</v>
      </c>
      <c r="N35" s="9"/>
    </row>
    <row r="36" spans="1:14" ht="28.5">
      <c r="A36" s="5" t="s">
        <v>232</v>
      </c>
      <c r="B36" s="6" t="s">
        <v>233</v>
      </c>
      <c r="C36" s="6" t="s">
        <v>234</v>
      </c>
      <c r="D36" s="6" t="s">
        <v>69</v>
      </c>
      <c r="E36" s="6" t="s">
        <v>235</v>
      </c>
      <c r="F36" s="6" t="s">
        <v>236</v>
      </c>
      <c r="G36" s="6" t="s">
        <v>237</v>
      </c>
      <c r="H36" s="6" t="s">
        <v>238</v>
      </c>
      <c r="I36" s="6" t="s">
        <v>24</v>
      </c>
      <c r="J36" s="6" t="s">
        <v>74</v>
      </c>
      <c r="K36" s="6" t="s">
        <v>26</v>
      </c>
      <c r="L36" s="6" t="s">
        <v>27</v>
      </c>
      <c r="M36" s="6" t="s">
        <v>28</v>
      </c>
      <c r="N36" s="9"/>
    </row>
    <row r="37" spans="1:14" ht="28.5">
      <c r="A37" s="5" t="s">
        <v>239</v>
      </c>
      <c r="B37" s="6" t="s">
        <v>240</v>
      </c>
      <c r="C37" s="6" t="s">
        <v>234</v>
      </c>
      <c r="D37" s="6" t="s">
        <v>69</v>
      </c>
      <c r="E37" s="6" t="s">
        <v>241</v>
      </c>
      <c r="F37" s="6" t="s">
        <v>221</v>
      </c>
      <c r="G37" s="6" t="s">
        <v>242</v>
      </c>
      <c r="H37" s="6" t="s">
        <v>243</v>
      </c>
      <c r="I37" s="6" t="s">
        <v>24</v>
      </c>
      <c r="J37" s="6" t="s">
        <v>74</v>
      </c>
      <c r="K37" s="6" t="s">
        <v>26</v>
      </c>
      <c r="L37" s="6" t="s">
        <v>27</v>
      </c>
      <c r="M37" s="6" t="s">
        <v>28</v>
      </c>
      <c r="N37" s="9"/>
    </row>
    <row r="38" spans="1:14" ht="28.5">
      <c r="A38" s="5" t="s">
        <v>244</v>
      </c>
      <c r="B38" s="6" t="s">
        <v>245</v>
      </c>
      <c r="C38" s="6" t="s">
        <v>246</v>
      </c>
      <c r="D38" s="6" t="s">
        <v>246</v>
      </c>
      <c r="E38" s="6" t="s">
        <v>247</v>
      </c>
      <c r="F38" s="6" t="s">
        <v>248</v>
      </c>
      <c r="G38" s="6" t="s">
        <v>249</v>
      </c>
      <c r="H38" s="6" t="s">
        <v>250</v>
      </c>
      <c r="I38" s="6" t="s">
        <v>24</v>
      </c>
      <c r="J38" s="6" t="s">
        <v>74</v>
      </c>
      <c r="K38" s="6" t="s">
        <v>26</v>
      </c>
      <c r="L38" s="6" t="s">
        <v>27</v>
      </c>
      <c r="M38" s="6" t="s">
        <v>28</v>
      </c>
      <c r="N38" s="9"/>
    </row>
    <row r="39" spans="1:14" ht="28.5">
      <c r="A39" s="5" t="s">
        <v>251</v>
      </c>
      <c r="B39" s="6" t="s">
        <v>252</v>
      </c>
      <c r="C39" s="6" t="s">
        <v>246</v>
      </c>
      <c r="D39" s="6" t="s">
        <v>246</v>
      </c>
      <c r="E39" s="6" t="s">
        <v>253</v>
      </c>
      <c r="F39" s="6" t="s">
        <v>254</v>
      </c>
      <c r="G39" s="6" t="s">
        <v>204</v>
      </c>
      <c r="H39" s="6" t="s">
        <v>255</v>
      </c>
      <c r="I39" s="6" t="s">
        <v>24</v>
      </c>
      <c r="J39" s="6" t="s">
        <v>74</v>
      </c>
      <c r="K39" s="6" t="s">
        <v>26</v>
      </c>
      <c r="L39" s="6" t="s">
        <v>27</v>
      </c>
      <c r="M39" s="6" t="s">
        <v>28</v>
      </c>
      <c r="N39" s="9"/>
    </row>
    <row r="40" spans="1:14" ht="28.5">
      <c r="A40" s="5" t="s">
        <v>256</v>
      </c>
      <c r="B40" s="6" t="s">
        <v>257</v>
      </c>
      <c r="C40" s="6" t="s">
        <v>246</v>
      </c>
      <c r="D40" s="6" t="s">
        <v>246</v>
      </c>
      <c r="E40" s="6" t="s">
        <v>258</v>
      </c>
      <c r="F40" s="6" t="s">
        <v>259</v>
      </c>
      <c r="G40" s="6" t="s">
        <v>260</v>
      </c>
      <c r="H40" s="6" t="s">
        <v>261</v>
      </c>
      <c r="I40" s="6" t="s">
        <v>35</v>
      </c>
      <c r="J40" s="6" t="s">
        <v>74</v>
      </c>
      <c r="K40" s="6" t="s">
        <v>26</v>
      </c>
      <c r="L40" s="6" t="s">
        <v>27</v>
      </c>
      <c r="M40" s="6" t="s">
        <v>28</v>
      </c>
      <c r="N40" s="9"/>
    </row>
    <row r="41" spans="1:14" ht="28.5">
      <c r="A41" s="5" t="s">
        <v>262</v>
      </c>
      <c r="B41" s="6" t="s">
        <v>263</v>
      </c>
      <c r="C41" s="6" t="s">
        <v>264</v>
      </c>
      <c r="D41" s="6" t="s">
        <v>265</v>
      </c>
      <c r="E41" s="6" t="s">
        <v>266</v>
      </c>
      <c r="F41" s="6" t="s">
        <v>267</v>
      </c>
      <c r="G41" s="6" t="s">
        <v>268</v>
      </c>
      <c r="H41" s="6" t="s">
        <v>269</v>
      </c>
      <c r="I41" s="6" t="s">
        <v>24</v>
      </c>
      <c r="J41" s="6" t="s">
        <v>74</v>
      </c>
      <c r="K41" s="6" t="s">
        <v>26</v>
      </c>
      <c r="L41" s="6" t="s">
        <v>27</v>
      </c>
      <c r="M41" s="6" t="s">
        <v>28</v>
      </c>
      <c r="N41" s="9"/>
    </row>
    <row r="42" spans="1:14" ht="28.5">
      <c r="A42" s="5" t="s">
        <v>270</v>
      </c>
      <c r="B42" s="6" t="s">
        <v>271</v>
      </c>
      <c r="C42" s="6" t="s">
        <v>264</v>
      </c>
      <c r="D42" s="6" t="s">
        <v>265</v>
      </c>
      <c r="E42" s="6" t="s">
        <v>272</v>
      </c>
      <c r="F42" s="6" t="s">
        <v>118</v>
      </c>
      <c r="G42" s="6" t="s">
        <v>273</v>
      </c>
      <c r="H42" s="6" t="s">
        <v>274</v>
      </c>
      <c r="I42" s="6" t="s">
        <v>24</v>
      </c>
      <c r="J42" s="6" t="s">
        <v>74</v>
      </c>
      <c r="K42" s="6" t="s">
        <v>26</v>
      </c>
      <c r="L42" s="6" t="s">
        <v>27</v>
      </c>
      <c r="M42" s="6" t="s">
        <v>28</v>
      </c>
      <c r="N42" s="9"/>
    </row>
    <row r="43" spans="1:14" ht="28.5">
      <c r="A43" s="5" t="s">
        <v>275</v>
      </c>
      <c r="B43" s="6" t="s">
        <v>276</v>
      </c>
      <c r="C43" s="6" t="s">
        <v>277</v>
      </c>
      <c r="D43" s="6" t="s">
        <v>265</v>
      </c>
      <c r="E43" s="6" t="s">
        <v>278</v>
      </c>
      <c r="F43" s="6" t="s">
        <v>279</v>
      </c>
      <c r="G43" s="6" t="s">
        <v>64</v>
      </c>
      <c r="H43" s="6" t="s">
        <v>280</v>
      </c>
      <c r="I43" s="6" t="s">
        <v>35</v>
      </c>
      <c r="J43" s="6" t="s">
        <v>74</v>
      </c>
      <c r="K43" s="6" t="s">
        <v>26</v>
      </c>
      <c r="L43" s="6" t="s">
        <v>27</v>
      </c>
      <c r="M43" s="6" t="s">
        <v>28</v>
      </c>
      <c r="N43" s="9"/>
    </row>
    <row r="44" spans="1:14" ht="28.5">
      <c r="A44" s="5" t="s">
        <v>281</v>
      </c>
      <c r="B44" s="6" t="s">
        <v>282</v>
      </c>
      <c r="C44" s="6" t="s">
        <v>277</v>
      </c>
      <c r="D44" s="6" t="s">
        <v>265</v>
      </c>
      <c r="E44" s="6" t="s">
        <v>283</v>
      </c>
      <c r="F44" s="6" t="s">
        <v>284</v>
      </c>
      <c r="G44" s="6" t="s">
        <v>285</v>
      </c>
      <c r="H44" s="6" t="s">
        <v>286</v>
      </c>
      <c r="I44" s="6" t="s">
        <v>35</v>
      </c>
      <c r="J44" s="6" t="s">
        <v>287</v>
      </c>
      <c r="K44" s="6" t="s">
        <v>26</v>
      </c>
      <c r="L44" s="6" t="s">
        <v>27</v>
      </c>
      <c r="M44" s="6" t="s">
        <v>28</v>
      </c>
      <c r="N44" s="9"/>
    </row>
    <row r="45" spans="1:14" ht="28.5">
      <c r="A45" s="5" t="s">
        <v>288</v>
      </c>
      <c r="B45" s="6" t="s">
        <v>289</v>
      </c>
      <c r="C45" s="6" t="s">
        <v>290</v>
      </c>
      <c r="D45" s="6" t="s">
        <v>265</v>
      </c>
      <c r="E45" s="6" t="s">
        <v>291</v>
      </c>
      <c r="F45" s="6" t="s">
        <v>292</v>
      </c>
      <c r="G45" s="6" t="s">
        <v>293</v>
      </c>
      <c r="H45" s="6" t="s">
        <v>294</v>
      </c>
      <c r="I45" s="6" t="s">
        <v>35</v>
      </c>
      <c r="J45" s="6" t="s">
        <v>287</v>
      </c>
      <c r="K45" s="6" t="s">
        <v>26</v>
      </c>
      <c r="L45" s="6" t="s">
        <v>27</v>
      </c>
      <c r="M45" s="6" t="s">
        <v>28</v>
      </c>
      <c r="N45" s="9"/>
    </row>
    <row r="46" spans="1:14" ht="28.5">
      <c r="A46" s="5" t="s">
        <v>295</v>
      </c>
      <c r="B46" s="6" t="s">
        <v>296</v>
      </c>
      <c r="C46" s="6" t="s">
        <v>290</v>
      </c>
      <c r="D46" s="6" t="s">
        <v>265</v>
      </c>
      <c r="E46" s="6" t="s">
        <v>297</v>
      </c>
      <c r="F46" s="6" t="s">
        <v>298</v>
      </c>
      <c r="G46" s="6" t="s">
        <v>293</v>
      </c>
      <c r="H46" s="6" t="s">
        <v>299</v>
      </c>
      <c r="I46" s="6" t="s">
        <v>35</v>
      </c>
      <c r="J46" s="6" t="s">
        <v>287</v>
      </c>
      <c r="K46" s="6" t="s">
        <v>26</v>
      </c>
      <c r="L46" s="6" t="s">
        <v>27</v>
      </c>
      <c r="M46" s="6" t="s">
        <v>28</v>
      </c>
      <c r="N46" s="9"/>
    </row>
    <row r="47" spans="1:14" ht="28.5">
      <c r="A47" s="5" t="s">
        <v>300</v>
      </c>
      <c r="B47" s="6" t="s">
        <v>301</v>
      </c>
      <c r="C47" s="6" t="s">
        <v>302</v>
      </c>
      <c r="D47" s="6" t="s">
        <v>19</v>
      </c>
      <c r="E47" s="6" t="s">
        <v>303</v>
      </c>
      <c r="F47" s="6" t="s">
        <v>304</v>
      </c>
      <c r="G47" s="6" t="s">
        <v>305</v>
      </c>
      <c r="H47" s="6" t="s">
        <v>306</v>
      </c>
      <c r="I47" s="6" t="s">
        <v>307</v>
      </c>
      <c r="J47" s="6" t="s">
        <v>308</v>
      </c>
      <c r="K47" s="6" t="s">
        <v>26</v>
      </c>
      <c r="L47" s="6" t="s">
        <v>27</v>
      </c>
      <c r="M47" s="6" t="s">
        <v>28</v>
      </c>
      <c r="N47" s="9"/>
    </row>
    <row r="48" spans="1:14" ht="28.5">
      <c r="A48" s="5" t="s">
        <v>309</v>
      </c>
      <c r="B48" s="6" t="s">
        <v>310</v>
      </c>
      <c r="C48" s="6" t="s">
        <v>302</v>
      </c>
      <c r="D48" s="6" t="s">
        <v>19</v>
      </c>
      <c r="E48" s="6" t="s">
        <v>311</v>
      </c>
      <c r="F48" s="6" t="s">
        <v>312</v>
      </c>
      <c r="G48" s="6" t="s">
        <v>313</v>
      </c>
      <c r="H48" s="6" t="s">
        <v>314</v>
      </c>
      <c r="I48" s="6" t="s">
        <v>307</v>
      </c>
      <c r="J48" s="6" t="s">
        <v>308</v>
      </c>
      <c r="K48" s="6" t="s">
        <v>26</v>
      </c>
      <c r="L48" s="6" t="s">
        <v>27</v>
      </c>
      <c r="M48" s="6" t="s">
        <v>28</v>
      </c>
      <c r="N48" s="9"/>
    </row>
    <row r="49" spans="1:14" ht="28.5">
      <c r="A49" s="5" t="s">
        <v>315</v>
      </c>
      <c r="B49" s="6" t="s">
        <v>316</v>
      </c>
      <c r="C49" s="6" t="s">
        <v>317</v>
      </c>
      <c r="D49" s="6" t="s">
        <v>151</v>
      </c>
      <c r="E49" s="6" t="s">
        <v>318</v>
      </c>
      <c r="F49" s="6" t="s">
        <v>319</v>
      </c>
      <c r="G49" s="6" t="s">
        <v>320</v>
      </c>
      <c r="H49" s="6" t="s">
        <v>321</v>
      </c>
      <c r="I49" s="6" t="s">
        <v>35</v>
      </c>
      <c r="J49" s="6" t="s">
        <v>308</v>
      </c>
      <c r="K49" s="6" t="s">
        <v>26</v>
      </c>
      <c r="L49" s="6" t="s">
        <v>27</v>
      </c>
      <c r="M49" s="6" t="s">
        <v>28</v>
      </c>
      <c r="N49" s="9"/>
    </row>
    <row r="50" spans="1:14" ht="28.5">
      <c r="A50" s="5" t="s">
        <v>322</v>
      </c>
      <c r="B50" s="6" t="s">
        <v>323</v>
      </c>
      <c r="C50" s="6" t="s">
        <v>324</v>
      </c>
      <c r="D50" s="6" t="s">
        <v>325</v>
      </c>
      <c r="E50" s="6" t="s">
        <v>326</v>
      </c>
      <c r="F50" s="6" t="s">
        <v>327</v>
      </c>
      <c r="G50" s="6" t="s">
        <v>328</v>
      </c>
      <c r="H50" s="6" t="s">
        <v>329</v>
      </c>
      <c r="I50" s="6" t="s">
        <v>24</v>
      </c>
      <c r="J50" s="6" t="s">
        <v>330</v>
      </c>
      <c r="K50" s="6" t="s">
        <v>26</v>
      </c>
      <c r="L50" s="6" t="s">
        <v>27</v>
      </c>
      <c r="M50" s="6" t="s">
        <v>28</v>
      </c>
      <c r="N50" s="9"/>
    </row>
    <row r="51" spans="1:14" ht="28.5">
      <c r="A51" s="5" t="s">
        <v>331</v>
      </c>
      <c r="B51" s="6" t="s">
        <v>332</v>
      </c>
      <c r="C51" s="6" t="s">
        <v>333</v>
      </c>
      <c r="D51" s="6" t="s">
        <v>334</v>
      </c>
      <c r="E51" s="6" t="s">
        <v>335</v>
      </c>
      <c r="F51" s="6" t="s">
        <v>336</v>
      </c>
      <c r="G51" s="6" t="s">
        <v>337</v>
      </c>
      <c r="H51" s="6" t="s">
        <v>338</v>
      </c>
      <c r="I51" s="6" t="s">
        <v>24</v>
      </c>
      <c r="J51" s="6" t="s">
        <v>339</v>
      </c>
      <c r="K51" s="6" t="s">
        <v>26</v>
      </c>
      <c r="L51" s="6" t="s">
        <v>27</v>
      </c>
      <c r="M51" s="6" t="s">
        <v>28</v>
      </c>
      <c r="N51" s="9"/>
    </row>
    <row r="52" spans="1:14" ht="28.5">
      <c r="A52" s="5" t="s">
        <v>340</v>
      </c>
      <c r="B52" s="6" t="s">
        <v>341</v>
      </c>
      <c r="C52" s="6" t="s">
        <v>342</v>
      </c>
      <c r="D52" s="6" t="s">
        <v>343</v>
      </c>
      <c r="E52" s="6" t="s">
        <v>344</v>
      </c>
      <c r="F52" s="6" t="s">
        <v>345</v>
      </c>
      <c r="G52" s="6" t="s">
        <v>346</v>
      </c>
      <c r="H52" s="6" t="s">
        <v>347</v>
      </c>
      <c r="I52" s="6" t="s">
        <v>24</v>
      </c>
      <c r="J52" s="6" t="s">
        <v>342</v>
      </c>
      <c r="K52" s="6" t="s">
        <v>26</v>
      </c>
      <c r="L52" s="6" t="s">
        <v>27</v>
      </c>
      <c r="M52" s="6" t="s">
        <v>28</v>
      </c>
      <c r="N52" s="9"/>
    </row>
    <row r="53" spans="1:14" ht="28.5">
      <c r="A53" s="7" t="s">
        <v>348</v>
      </c>
      <c r="B53" s="8" t="s">
        <v>349</v>
      </c>
      <c r="C53" s="8" t="s">
        <v>350</v>
      </c>
      <c r="D53" s="8" t="s">
        <v>351</v>
      </c>
      <c r="E53" s="8" t="s">
        <v>352</v>
      </c>
      <c r="F53" s="8" t="s">
        <v>353</v>
      </c>
      <c r="G53" s="8" t="s">
        <v>354</v>
      </c>
      <c r="H53" s="8" t="s">
        <v>355</v>
      </c>
      <c r="I53" s="8" t="s">
        <v>35</v>
      </c>
      <c r="J53" s="8" t="s">
        <v>308</v>
      </c>
      <c r="K53" s="8" t="s">
        <v>26</v>
      </c>
      <c r="L53" s="8" t="s">
        <v>27</v>
      </c>
      <c r="M53" s="8" t="s">
        <v>28</v>
      </c>
      <c r="N53" s="10"/>
    </row>
  </sheetData>
  <mergeCells count="2">
    <mergeCell ref="A1:N1"/>
    <mergeCell ref="A2:N2"/>
  </mergeCells>
  <conditionalFormatting sqref="K5:K53">
    <cfRule type="expression" dxfId="3" priority="1">
      <formula>K5="Pasa"</formula>
    </cfRule>
    <cfRule type="expression" dxfId="2" priority="2">
      <formula>K5="No pasa"</formula>
    </cfRule>
    <cfRule type="expression" dxfId="1" priority="3">
      <formula>K5="Bloqueado"</formula>
    </cfRule>
    <cfRule type="expression" dxfId="0" priority="4">
      <formula>K5="En ejecución"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>
          <x14:formula1>
            <xm:f>CATALOGOS!$A$2:$A$5</xm:f>
          </x14:formula1>
          <xm:sqref>I5:I53</xm:sqref>
        </x14:dataValidation>
        <x14:dataValidation type="list">
          <x14:formula1>
            <xm:f>CATALOGOS!$D$2:$D$9</xm:f>
          </x14:formula1>
          <xm:sqref>J5:J53</xm:sqref>
        </x14:dataValidation>
        <x14:dataValidation type="list">
          <x14:formula1>
            <xm:f>CATALOGOS!$B$2:$B$6</xm:f>
          </x14:formula1>
          <xm:sqref>K5:K53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baseColWidth="10" defaultColWidth="9" defaultRowHeight="14.25"/>
  <cols>
    <col min="1" max="2" width="24" customWidth="1"/>
  </cols>
  <sheetData>
    <row r="1" spans="1:6" ht="18">
      <c r="A1" s="19" t="s">
        <v>356</v>
      </c>
      <c r="B1" s="19"/>
      <c r="C1" s="19"/>
      <c r="D1" s="19"/>
      <c r="E1" s="19"/>
      <c r="F1" s="19"/>
    </row>
    <row r="3" spans="1:6" ht="15">
      <c r="A3" s="11" t="s">
        <v>357</v>
      </c>
      <c r="B3" s="12" t="s">
        <v>358</v>
      </c>
      <c r="D3" s="20" t="s">
        <v>359</v>
      </c>
      <c r="E3" s="20"/>
      <c r="F3" s="20"/>
    </row>
    <row r="4" spans="1:6">
      <c r="A4" s="13" t="s">
        <v>360</v>
      </c>
      <c r="B4" s="14">
        <f>COUNTA('CASOS DE PRUEBA'!A5:A53)</f>
        <v>49</v>
      </c>
      <c r="D4" s="20"/>
      <c r="E4" s="20"/>
      <c r="F4" s="20"/>
    </row>
    <row r="5" spans="1:6">
      <c r="A5" s="13" t="s">
        <v>361</v>
      </c>
      <c r="B5" s="14">
        <f>COUNTIF('CASOS DE PRUEBA'!K5:K53,"Pendiente de ejecución")</f>
        <v>49</v>
      </c>
      <c r="D5" s="20"/>
      <c r="E5" s="20"/>
      <c r="F5" s="20"/>
    </row>
    <row r="6" spans="1:6">
      <c r="A6" s="13" t="s">
        <v>362</v>
      </c>
      <c r="B6" s="14">
        <f>COUNTIF('CASOS DE PRUEBA'!K5:K53,"En ejecución")</f>
        <v>0</v>
      </c>
      <c r="D6" s="20"/>
      <c r="E6" s="20"/>
      <c r="F6" s="20"/>
    </row>
    <row r="7" spans="1:6">
      <c r="A7" s="13" t="s">
        <v>363</v>
      </c>
      <c r="B7" s="14">
        <f>COUNTIF('CASOS DE PRUEBA'!K5:K53,"Pasa")</f>
        <v>0</v>
      </c>
      <c r="D7" s="20"/>
      <c r="E7" s="20"/>
      <c r="F7" s="20"/>
    </row>
    <row r="8" spans="1:6">
      <c r="A8" s="15" t="s">
        <v>364</v>
      </c>
      <c r="B8" s="16">
        <f>COUNTIF('CASOS DE PRUEBA'!K5:K53,"No pasa")</f>
        <v>0</v>
      </c>
      <c r="D8" s="20"/>
      <c r="E8" s="20"/>
      <c r="F8" s="20"/>
    </row>
  </sheetData>
  <mergeCells count="2">
    <mergeCell ref="A1:F1"/>
    <mergeCell ref="D3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baseColWidth="10" defaultColWidth="9" defaultRowHeight="14.25"/>
  <cols>
    <col min="1" max="4" width="24" customWidth="1"/>
  </cols>
  <sheetData>
    <row r="1" spans="1:4" ht="15">
      <c r="A1" s="1" t="s">
        <v>10</v>
      </c>
      <c r="B1" s="1" t="s">
        <v>12</v>
      </c>
      <c r="C1" s="1"/>
      <c r="D1" s="1" t="s">
        <v>11</v>
      </c>
    </row>
    <row r="2" spans="1:4">
      <c r="A2" t="s">
        <v>24</v>
      </c>
      <c r="B2" t="s">
        <v>26</v>
      </c>
      <c r="D2" t="s">
        <v>74</v>
      </c>
    </row>
    <row r="3" spans="1:4">
      <c r="A3" t="s">
        <v>35</v>
      </c>
      <c r="B3" t="s">
        <v>362</v>
      </c>
      <c r="D3" t="s">
        <v>25</v>
      </c>
    </row>
    <row r="4" spans="1:4">
      <c r="A4" t="s">
        <v>307</v>
      </c>
      <c r="B4" t="s">
        <v>363</v>
      </c>
      <c r="D4" t="s">
        <v>60</v>
      </c>
    </row>
    <row r="5" spans="1:4">
      <c r="A5" t="s">
        <v>365</v>
      </c>
      <c r="B5" t="s">
        <v>364</v>
      </c>
      <c r="D5" t="s">
        <v>287</v>
      </c>
    </row>
    <row r="6" spans="1:4">
      <c r="B6" t="s">
        <v>366</v>
      </c>
      <c r="D6" t="s">
        <v>330</v>
      </c>
    </row>
    <row r="7" spans="1:4">
      <c r="D7" t="s">
        <v>308</v>
      </c>
    </row>
    <row r="8" spans="1:4">
      <c r="D8" t="s">
        <v>339</v>
      </c>
    </row>
    <row r="9" spans="1:4">
      <c r="D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RESUMEN</vt:lpstr>
      <vt:lpstr>CATALOGOS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German Alberto Cajas Viteri</cp:lastModifiedBy>
  <dcterms:modified xsi:type="dcterms:W3CDTF">2026-07-21T14:34:21Z</dcterms:modified>
</cp:coreProperties>
</file>